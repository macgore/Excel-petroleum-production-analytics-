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aw_Data" sheetId="2" r:id="rId5"/>
    <sheet state="visible" name="Field_Summary" sheetId="3" r:id="rId6"/>
    <sheet state="visible" name="PumpType_Summary" sheetId="4" r:id="rId7"/>
    <sheet state="visible" name="Field_Pump_Summary" sheetId="5" r:id="rId8"/>
    <sheet state="visible" name="KPIs" sheetId="6" r:id="rId9"/>
    <sheet state="visible" name="Charts" sheetId="7" r:id="rId10"/>
  </sheets>
  <definedNames/>
  <calcPr/>
  <extLst>
    <ext uri="GoogleSheetsCustomDataVersion2">
      <go:sheetsCustomData xmlns:go="http://customooxmlschemas.google.com/" r:id="rId11" roundtripDataChecksum="ytVv4oke2nOdmr+T07wUSyiURCDuc5Vpsjmr9oJ8ATc="/>
    </ext>
  </extLst>
</workbook>
</file>

<file path=xl/sharedStrings.xml><?xml version="1.0" encoding="utf-8"?>
<sst xmlns="http://schemas.openxmlformats.org/spreadsheetml/2006/main" count="934" uniqueCount="271">
  <si>
    <t>PETROTECH ENERGY LTD. — MONTHLY EXECUTIVE PRODUCTION DASHBOARD</t>
  </si>
  <si>
    <t>TOTAL OIL (bbl/day)</t>
  </si>
  <si>
    <t>TOTAL GAS (Mscf/day)</t>
  </si>
  <si>
    <t>AVG WATER CUT</t>
  </si>
  <si>
    <t>ACTIVE WELLS</t>
  </si>
  <si>
    <t>AVG DOWNTIME (hrs)</t>
  </si>
  <si>
    <t>See 'Charts' tab for Oil by Field, Water Cut, Pump Type, Pressure, and Status charts.</t>
  </si>
  <si>
    <t>TOP 10 WELLS BY OIL PRODUCTION</t>
  </si>
  <si>
    <t>Rank</t>
  </si>
  <si>
    <t>Well ID</t>
  </si>
  <si>
    <t>Field</t>
  </si>
  <si>
    <t>Pump Type</t>
  </si>
  <si>
    <t>Oil (bbl/day)</t>
  </si>
  <si>
    <t>BOTTOM 10 WELLS BY OIL PRODUCTION</t>
  </si>
  <si>
    <t>Reservoir</t>
  </si>
  <si>
    <t>Completion Type</t>
  </si>
  <si>
    <t>Gas (Mscf/day)</t>
  </si>
  <si>
    <t>Water (bbl/day)</t>
  </si>
  <si>
    <t>Water Cut (%)</t>
  </si>
  <si>
    <t>Pressure (psi)</t>
  </si>
  <si>
    <t>Temperature (F)</t>
  </si>
  <si>
    <t>Status</t>
  </si>
  <si>
    <t>Last Maintenance Date</t>
  </si>
  <si>
    <t>Downtime (hrs)</t>
  </si>
  <si>
    <t>Operating Cost ($/day)</t>
  </si>
  <si>
    <t>W-001</t>
  </si>
  <si>
    <t>Charlie</t>
  </si>
  <si>
    <t>Sand A</t>
  </si>
  <si>
    <t>Vertical</t>
  </si>
  <si>
    <t>Gas Lift</t>
  </si>
  <si>
    <t>Active</t>
  </si>
  <si>
    <t>2026-02-25</t>
  </si>
  <si>
    <t>W-002</t>
  </si>
  <si>
    <t>Alpha</t>
  </si>
  <si>
    <t>Carbonate C</t>
  </si>
  <si>
    <t>Horizontal</t>
  </si>
  <si>
    <t>ESP</t>
  </si>
  <si>
    <t>2026-02-10</t>
  </si>
  <si>
    <t>W-003</t>
  </si>
  <si>
    <t>Sand B</t>
  </si>
  <si>
    <t>Deviated</t>
  </si>
  <si>
    <t>Rod Pump</t>
  </si>
  <si>
    <t>2026-04-28</t>
  </si>
  <si>
    <t>W-004</t>
  </si>
  <si>
    <t>2026-03-16</t>
  </si>
  <si>
    <t>W-005</t>
  </si>
  <si>
    <t>2026-06-05</t>
  </si>
  <si>
    <t>W-006</t>
  </si>
  <si>
    <t>2026-01-15</t>
  </si>
  <si>
    <t>W-007</t>
  </si>
  <si>
    <t>W-008</t>
  </si>
  <si>
    <t>2026-05-07</t>
  </si>
  <si>
    <t>W-009</t>
  </si>
  <si>
    <t>2026-01-03</t>
  </si>
  <si>
    <t>W-010</t>
  </si>
  <si>
    <t>2026-03-09</t>
  </si>
  <si>
    <t>W-011</t>
  </si>
  <si>
    <t>2026-05-16</t>
  </si>
  <si>
    <t>W-012</t>
  </si>
  <si>
    <t>2026-01-22</t>
  </si>
  <si>
    <t>W-013</t>
  </si>
  <si>
    <t>2026-06-26</t>
  </si>
  <si>
    <t>W-014</t>
  </si>
  <si>
    <t>2026-02-28</t>
  </si>
  <si>
    <t>W-015</t>
  </si>
  <si>
    <t>2026-05-27</t>
  </si>
  <si>
    <t>W-016</t>
  </si>
  <si>
    <t>2026-06-15</t>
  </si>
  <si>
    <t>W-017</t>
  </si>
  <si>
    <t>2026-01-20</t>
  </si>
  <si>
    <t>W-018</t>
  </si>
  <si>
    <t>Bravo</t>
  </si>
  <si>
    <t>2026-04-13</t>
  </si>
  <si>
    <t>W-019</t>
  </si>
  <si>
    <t>2026-05-05</t>
  </si>
  <si>
    <t>W-020</t>
  </si>
  <si>
    <t>W-021</t>
  </si>
  <si>
    <t>Shut-in</t>
  </si>
  <si>
    <t>2026-05-14</t>
  </si>
  <si>
    <t>W-022</t>
  </si>
  <si>
    <t>W-023</t>
  </si>
  <si>
    <t>2026-05-20</t>
  </si>
  <si>
    <t>W-024</t>
  </si>
  <si>
    <t>2026-05-22</t>
  </si>
  <si>
    <t>W-025</t>
  </si>
  <si>
    <t>2026-06-12</t>
  </si>
  <si>
    <t>W-026</t>
  </si>
  <si>
    <t>2026-02-08</t>
  </si>
  <si>
    <t>W-027</t>
  </si>
  <si>
    <t>2026-06-24</t>
  </si>
  <si>
    <t>W-028</t>
  </si>
  <si>
    <t>2026-02-15</t>
  </si>
  <si>
    <t>W-029</t>
  </si>
  <si>
    <t>2026-04-08</t>
  </si>
  <si>
    <t>W-030</t>
  </si>
  <si>
    <t>2026-01-18</t>
  </si>
  <si>
    <t>W-031</t>
  </si>
  <si>
    <t>W-032</t>
  </si>
  <si>
    <t>2026-04-22</t>
  </si>
  <si>
    <t>W-033</t>
  </si>
  <si>
    <t>2026-02-01</t>
  </si>
  <si>
    <t>W-034</t>
  </si>
  <si>
    <t>2026-02-14</t>
  </si>
  <si>
    <t>W-035</t>
  </si>
  <si>
    <t>2026-02-13</t>
  </si>
  <si>
    <t>W-036</t>
  </si>
  <si>
    <t>2026-01-12</t>
  </si>
  <si>
    <t>W-037</t>
  </si>
  <si>
    <t>2026-01-28</t>
  </si>
  <si>
    <t>W-038</t>
  </si>
  <si>
    <t>2026-05-10</t>
  </si>
  <si>
    <t>W-039</t>
  </si>
  <si>
    <t>2026-03-12</t>
  </si>
  <si>
    <t>W-040</t>
  </si>
  <si>
    <t>2026-04-17</t>
  </si>
  <si>
    <t>W-041</t>
  </si>
  <si>
    <t>W-042</t>
  </si>
  <si>
    <t>2026-02-26</t>
  </si>
  <si>
    <t>W-043</t>
  </si>
  <si>
    <t>2026-04-11</t>
  </si>
  <si>
    <t>W-044</t>
  </si>
  <si>
    <t>W-045</t>
  </si>
  <si>
    <t>2026-01-08</t>
  </si>
  <si>
    <t>W-046</t>
  </si>
  <si>
    <t>2026-01-30</t>
  </si>
  <si>
    <t>W-047</t>
  </si>
  <si>
    <t>2026-06-10</t>
  </si>
  <si>
    <t>W-048</t>
  </si>
  <si>
    <t>W-049</t>
  </si>
  <si>
    <t>2026-06-07</t>
  </si>
  <si>
    <t>W-050</t>
  </si>
  <si>
    <t>2026-05-26</t>
  </si>
  <si>
    <t>W-051</t>
  </si>
  <si>
    <t>W-052</t>
  </si>
  <si>
    <t>2026-01-24</t>
  </si>
  <si>
    <t>W-053</t>
  </si>
  <si>
    <t>2026-04-27</t>
  </si>
  <si>
    <t>W-054</t>
  </si>
  <si>
    <t>2026-05-31</t>
  </si>
  <si>
    <t>W-055</t>
  </si>
  <si>
    <t>W-056</t>
  </si>
  <si>
    <t>W-057</t>
  </si>
  <si>
    <t>2026-06-02</t>
  </si>
  <si>
    <t>W-058</t>
  </si>
  <si>
    <t>2026-02-23</t>
  </si>
  <si>
    <t>W-059</t>
  </si>
  <si>
    <t>2026-03-15</t>
  </si>
  <si>
    <t>W-060</t>
  </si>
  <si>
    <t>2026-02-27</t>
  </si>
  <si>
    <t>W-061</t>
  </si>
  <si>
    <t>2026-06-29</t>
  </si>
  <si>
    <t>W-062</t>
  </si>
  <si>
    <t>W-063</t>
  </si>
  <si>
    <t>2026-05-06</t>
  </si>
  <si>
    <t>W-064</t>
  </si>
  <si>
    <t>2026-05-21</t>
  </si>
  <si>
    <t>W-065</t>
  </si>
  <si>
    <t>2026-05-08</t>
  </si>
  <si>
    <t>W-066</t>
  </si>
  <si>
    <t>2026-04-15</t>
  </si>
  <si>
    <t>W-067</t>
  </si>
  <si>
    <t>2026-05-01</t>
  </si>
  <si>
    <t>W-068</t>
  </si>
  <si>
    <t>W-069</t>
  </si>
  <si>
    <t>W-070</t>
  </si>
  <si>
    <t>W-071</t>
  </si>
  <si>
    <t>2026-02-06</t>
  </si>
  <si>
    <t>W-072</t>
  </si>
  <si>
    <t>W-073</t>
  </si>
  <si>
    <t>2026-01-26</t>
  </si>
  <si>
    <t>W-074</t>
  </si>
  <si>
    <t>2026-01-21</t>
  </si>
  <si>
    <t>W-075</t>
  </si>
  <si>
    <t>W-076</t>
  </si>
  <si>
    <t>2026-04-09</t>
  </si>
  <si>
    <t>W-077</t>
  </si>
  <si>
    <t>2026-06-25</t>
  </si>
  <si>
    <t>W-078</t>
  </si>
  <si>
    <t>2026-06-23</t>
  </si>
  <si>
    <t>W-079</t>
  </si>
  <si>
    <t>2026-03-17</t>
  </si>
  <si>
    <t>W-080</t>
  </si>
  <si>
    <t>2026-05-04</t>
  </si>
  <si>
    <t>W-081</t>
  </si>
  <si>
    <t>2026-04-12</t>
  </si>
  <si>
    <t>W-082</t>
  </si>
  <si>
    <t>2026-01-07</t>
  </si>
  <si>
    <t>W-083</t>
  </si>
  <si>
    <t>W-084</t>
  </si>
  <si>
    <t>2026-06-17</t>
  </si>
  <si>
    <t>W-085</t>
  </si>
  <si>
    <t>2026-04-05</t>
  </si>
  <si>
    <t>W-086</t>
  </si>
  <si>
    <t>2026-01-06</t>
  </si>
  <si>
    <t>W-087</t>
  </si>
  <si>
    <t>W-088</t>
  </si>
  <si>
    <t>2026-01-05</t>
  </si>
  <si>
    <t>W-089</t>
  </si>
  <si>
    <t>W-090</t>
  </si>
  <si>
    <t>2026-04-24</t>
  </si>
  <si>
    <t>W-091</t>
  </si>
  <si>
    <t>W-092</t>
  </si>
  <si>
    <t>2026-04-20</t>
  </si>
  <si>
    <t>W-093</t>
  </si>
  <si>
    <t>2026-02-03</t>
  </si>
  <si>
    <t>W-094</t>
  </si>
  <si>
    <t>W-095</t>
  </si>
  <si>
    <t>W-096</t>
  </si>
  <si>
    <t>2026-03-21</t>
  </si>
  <si>
    <t>W-097</t>
  </si>
  <si>
    <t>2026-04-18</t>
  </si>
  <si>
    <t>W-098</t>
  </si>
  <si>
    <t>W-099</t>
  </si>
  <si>
    <t>W-100</t>
  </si>
  <si>
    <t>2026-01-31</t>
  </si>
  <si>
    <t>W-101</t>
  </si>
  <si>
    <t>2026-01-11</t>
  </si>
  <si>
    <t>W-102</t>
  </si>
  <si>
    <t>2026-06-08</t>
  </si>
  <si>
    <t>W-103</t>
  </si>
  <si>
    <t>W-104</t>
  </si>
  <si>
    <t>2026-06-04</t>
  </si>
  <si>
    <t>W-105</t>
  </si>
  <si>
    <t>2026-06-09</t>
  </si>
  <si>
    <t>W-106</t>
  </si>
  <si>
    <t>2026-01-10</t>
  </si>
  <si>
    <t>W-107</t>
  </si>
  <si>
    <t>W-108</t>
  </si>
  <si>
    <t>W-109</t>
  </si>
  <si>
    <t>W-110</t>
  </si>
  <si>
    <t>W-111</t>
  </si>
  <si>
    <t>2026-04-07</t>
  </si>
  <si>
    <t>W-112</t>
  </si>
  <si>
    <t>W-113</t>
  </si>
  <si>
    <t>2026-05-15</t>
  </si>
  <si>
    <t>W-114</t>
  </si>
  <si>
    <t>2026-04-16</t>
  </si>
  <si>
    <t>W-115</t>
  </si>
  <si>
    <t>2026-02-19</t>
  </si>
  <si>
    <t>W-116</t>
  </si>
  <si>
    <t>2026-03-06</t>
  </si>
  <si>
    <t>W-117</t>
  </si>
  <si>
    <t>W-118</t>
  </si>
  <si>
    <t>2026-06-16</t>
  </si>
  <si>
    <t>W-119</t>
  </si>
  <si>
    <t>2026-03-07</t>
  </si>
  <si>
    <t>W-120</t>
  </si>
  <si>
    <t>2026-01-17</t>
  </si>
  <si>
    <t>Total Oil (bbl/day)</t>
  </si>
  <si>
    <t>Total Gas (Mscf/day)</t>
  </si>
  <si>
    <t>Total Water (bbl/day)</t>
  </si>
  <si>
    <t>Avg Water Cut (%)</t>
  </si>
  <si>
    <t>Avg Pressure (psi)</t>
  </si>
  <si>
    <t>Well Count</t>
  </si>
  <si>
    <t>Avg Oil (bbl/day)</t>
  </si>
  <si>
    <t>KPI</t>
  </si>
  <si>
    <t>Value</t>
  </si>
  <si>
    <t>Total Oil Production (bbl/day)</t>
  </si>
  <si>
    <t>Total Gas Production (Mscf/day)</t>
  </si>
  <si>
    <t>Average Water Cut (%)</t>
  </si>
  <si>
    <t>Average Pressure (psi)</t>
  </si>
  <si>
    <t>Highest Producing Well</t>
  </si>
  <si>
    <t>Highest Producer Rate (bbl/day)</t>
  </si>
  <si>
    <t>Lowest Producing Well</t>
  </si>
  <si>
    <t>Lowest Producer Rate (bbl/day)</t>
  </si>
  <si>
    <t>Number of Active Wells</t>
  </si>
  <si>
    <t>Number of Shut-in Wells</t>
  </si>
  <si>
    <t>Average Downtime (hrs)</t>
  </si>
  <si>
    <t>Average Operating Cost ($/day)</t>
  </si>
  <si>
    <t>Wells Needing Intervention (Water Cut &gt; 50% OR Downtime &gt; 25 hrs)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</si>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</sst>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#,##0.0"/>
    <numFmt numFmtId="167" formatCode="\$#,##0"/>
  </numFmts>
  <fonts count="13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9.0"/>
      <color rgb="FFFFFFFF"/>
      <name val="Arial"/>
    </font>
    <font>
      <b/>
      <sz val="14.0"/>
      <color rgb="FF1F3864"/>
      <name val="Arial"/>
    </font>
    <font>
      <i/>
      <sz val="9.0"/>
      <color theme="1"/>
      <name val="Arial"/>
    </font>
    <font>
      <b/>
      <sz val="12.0"/>
      <color rgb="FF1F386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bottom" wrapText="1"/>
    </xf>
    <xf borderId="4" fillId="3" fontId="4" numFmtId="3" xfId="0" applyAlignment="1" applyBorder="1" applyFill="1" applyFont="1" applyNumberFormat="1">
      <alignment horizontal="center" shrinkToFit="0" vertical="bottom" wrapText="0"/>
    </xf>
    <xf borderId="4" fillId="3" fontId="4" numFmtId="164" xfId="0" applyAlignment="1" applyBorder="1" applyFont="1" applyNumberFormat="1">
      <alignment horizontal="center" shrinkToFit="0" vertical="bottom" wrapText="0"/>
    </xf>
    <xf borderId="4" fillId="3" fontId="4" numFmtId="1" xfId="0" applyAlignment="1" applyBorder="1" applyFont="1" applyNumberFormat="1">
      <alignment horizontal="center" shrinkToFit="0" vertical="bottom" wrapText="0"/>
    </xf>
    <xf borderId="4" fillId="3" fontId="4" numFmtId="165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2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6" xfId="0" applyAlignment="1" applyFont="1" applyNumberFormat="1">
      <alignment shrinkToFit="0" vertical="bottom" wrapText="0"/>
    </xf>
    <xf borderId="4" fillId="2" fontId="9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  <xf borderId="0" fillId="0" fontId="10" numFmtId="49" xfId="0" applyAlignment="1" applyFont="1" applyNumberFormat="1">
      <alignment shrinkToFit="0" vertical="bottom" wrapText="0"/>
    </xf>
    <xf borderId="0" fillId="0" fontId="10" numFmtId="1" xfId="0" applyAlignment="1" applyFont="1" applyNumberFormat="1">
      <alignment shrinkToFit="0" vertical="bottom" wrapText="0"/>
    </xf>
    <xf borderId="0" fillId="0" fontId="10" numFmtId="167" xfId="0" applyAlignment="1" applyFont="1" applyNumberFormat="1">
      <alignment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Oil Production by Field (bbl/day)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Oil (bbl/day)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Field_Summary!$A$2:$A$4</c:f>
            </c:strRef>
          </c:cat>
          <c:val>
            <c:numRef>
              <c:f>Field_Summary!$B$2:$B$4</c:f>
              <c:numCache/>
            </c:numRef>
          </c:val>
        </c:ser>
        <c:axId val="1135109050"/>
        <c:axId val="1411699411"/>
      </c:barChart>
      <c:catAx>
        <c:axId val="1135109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1699411"/>
      </c:catAx>
      <c:valAx>
        <c:axId val="1411699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Oil (bbl/day)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510905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Well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Charts!$K$1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Charts!$J$2:$J$3</c:f>
            </c:strRef>
          </c:cat>
          <c:val>
            <c:numRef>
              <c:f>Charts!$K$2:$K$3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Oil Production by Pump Type (bbl/day)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Oil (bbl/day)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PumpType_Summary!$A$2:$A$4</c:f>
            </c:strRef>
          </c:cat>
          <c:val>
            <c:numRef>
              <c:f>PumpType_Summary!$B$2:$B$4</c:f>
              <c:numCache/>
            </c:numRef>
          </c:val>
        </c:ser>
        <c:axId val="1396062104"/>
        <c:axId val="1405693225"/>
      </c:barChart>
      <c:catAx>
        <c:axId val="1396062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Pump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05693225"/>
      </c:catAx>
      <c:valAx>
        <c:axId val="1405693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Avg Oil (bbl/day)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60621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Reservoir Pressure by Field (psi)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Avg Pressure (psi)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Field_Summary!$A$2:$A$4</c:f>
            </c:strRef>
          </c:cat>
          <c:val>
            <c:numRef>
              <c:f>Field_Summary!$F$2:$F$4</c:f>
              <c:numCache/>
            </c:numRef>
          </c:val>
          <c:smooth val="1"/>
        </c:ser>
        <c:axId val="1230915666"/>
        <c:axId val="1585224697"/>
      </c:lineChart>
      <c:catAx>
        <c:axId val="1230915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5224697"/>
      </c:catAx>
      <c:valAx>
        <c:axId val="1585224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Pressure (psi)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091566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Water Cut by Field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Water Cut (%)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Field_Summary!$A$2:$A$4</c:f>
            </c:strRef>
          </c:cat>
          <c:val>
            <c:numRef>
              <c:f>Field_Summary!$E$2:$E$4</c:f>
              <c:numCache/>
            </c:numRef>
          </c:val>
        </c:ser>
        <c:axId val="564147103"/>
        <c:axId val="1122322042"/>
      </c:barChart>
      <c:catAx>
        <c:axId val="564147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2322042"/>
      </c:catAx>
      <c:valAx>
        <c:axId val="1122322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Water Cut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641471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53025" cy="2828925"/>
    <xdr:graphicFrame>
      <xdr:nvGraphicFramePr>
        <xdr:cNvPr id="160592410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0</xdr:rowOff>
    </xdr:from>
    <xdr:ext cx="5153025" cy="2828925"/>
    <xdr:graphicFrame>
      <xdr:nvGraphicFramePr>
        <xdr:cNvPr id="17371793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0</xdr:rowOff>
    </xdr:from>
    <xdr:ext cx="5153025" cy="2828925"/>
    <xdr:graphicFrame>
      <xdr:nvGraphicFramePr>
        <xdr:cNvPr id="60436561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48</xdr:row>
      <xdr:rowOff>0</xdr:rowOff>
    </xdr:from>
    <xdr:ext cx="5153025" cy="2828925"/>
    <xdr:graphicFrame>
      <xdr:nvGraphicFramePr>
        <xdr:cNvPr id="209768919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0</xdr:rowOff>
    </xdr:from>
    <xdr:ext cx="5153025" cy="2828925"/>
    <xdr:graphicFrame>
      <xdr:nvGraphicFramePr>
        <xdr:cNvPr id="30560115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25.5" customHeight="1">
      <c r="A4" s="5">
        <f>KPIs!B2</f>
        <v>49952.2</v>
      </c>
      <c r="B4" s="5">
        <f>KPIs!B3</f>
        <v>49793.2</v>
      </c>
      <c r="C4" s="6">
        <f>KPIs!B4/100</f>
        <v>0.305925</v>
      </c>
      <c r="D4" s="7">
        <f>KPIs!B10</f>
        <v>114</v>
      </c>
      <c r="E4" s="8">
        <f>KPIs!B12</f>
        <v>17.28166667</v>
      </c>
    </row>
    <row r="6">
      <c r="A6" s="9" t="s">
        <v>6</v>
      </c>
    </row>
    <row r="8">
      <c r="A8" s="10" t="s">
        <v>7</v>
      </c>
    </row>
    <row r="9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</row>
    <row r="10">
      <c r="A10" s="12">
        <v>1.0</v>
      </c>
      <c r="B10" s="12" t="str">
        <f t="array" ref="B10">INDEX(Raw_Data!$A$2:$A$121,MATCH(E10,Raw_Data!$F$2:$F$121,0))</f>
        <v>W-019</v>
      </c>
      <c r="C10" s="12" t="str">
        <f t="array" ref="C10">INDEX(Raw_Data!$B$2:$B$121,MATCH(E10,Raw_Data!$F$2:$F$121,0))</f>
        <v>Alpha</v>
      </c>
      <c r="D10" s="12" t="str">
        <f t="array" ref="D10">INDEX(Raw_Data!$E$2:$E$121,MATCH(E10,Raw_Data!$F$2:$F$121,0))</f>
        <v>ESP</v>
      </c>
      <c r="E10" s="13">
        <f>LARGE(Raw_Data!$F$2:$F$121,1)</f>
        <v>969.1</v>
      </c>
    </row>
    <row r="11">
      <c r="A11" s="12">
        <v>2.0</v>
      </c>
      <c r="B11" s="12" t="str">
        <f t="array" ref="B11">INDEX(Raw_Data!$A$2:$A$121,MATCH(E11,Raw_Data!$F$2:$F$121,0))</f>
        <v>W-020</v>
      </c>
      <c r="C11" s="12" t="str">
        <f t="array" ref="C11">INDEX(Raw_Data!$B$2:$B$121,MATCH(E11,Raw_Data!$F$2:$F$121,0))</f>
        <v>Alpha</v>
      </c>
      <c r="D11" s="12" t="str">
        <f t="array" ref="D11">INDEX(Raw_Data!$E$2:$E$121,MATCH(E11,Raw_Data!$F$2:$F$121,0))</f>
        <v>ESP</v>
      </c>
      <c r="E11" s="13">
        <f>LARGE(Raw_Data!$F$2:$F$121,2)</f>
        <v>959.5</v>
      </c>
    </row>
    <row r="12">
      <c r="A12" s="12">
        <v>3.0</v>
      </c>
      <c r="B12" s="12" t="str">
        <f t="array" ref="B12">INDEX(Raw_Data!$A$2:$A$121,MATCH(E12,Raw_Data!$F$2:$F$121,0))</f>
        <v>W-011</v>
      </c>
      <c r="C12" s="12" t="str">
        <f t="array" ref="C12">INDEX(Raw_Data!$B$2:$B$121,MATCH(E12,Raw_Data!$F$2:$F$121,0))</f>
        <v>Charlie</v>
      </c>
      <c r="D12" s="12" t="str">
        <f t="array" ref="D12">INDEX(Raw_Data!$E$2:$E$121,MATCH(E12,Raw_Data!$F$2:$F$121,0))</f>
        <v>ESP</v>
      </c>
      <c r="E12" s="13">
        <f>LARGE(Raw_Data!$F$2:$F$121,3)</f>
        <v>903</v>
      </c>
    </row>
    <row r="13">
      <c r="A13" s="12">
        <v>4.0</v>
      </c>
      <c r="B13" s="12" t="str">
        <f t="array" ref="B13">INDEX(Raw_Data!$A$2:$A$121,MATCH(E13,Raw_Data!$F$2:$F$121,0))</f>
        <v>W-102</v>
      </c>
      <c r="C13" s="12" t="str">
        <f t="array" ref="C13">INDEX(Raw_Data!$B$2:$B$121,MATCH(E13,Raw_Data!$F$2:$F$121,0))</f>
        <v>Bravo</v>
      </c>
      <c r="D13" s="12" t="str">
        <f t="array" ref="D13">INDEX(Raw_Data!$E$2:$E$121,MATCH(E13,Raw_Data!$F$2:$F$121,0))</f>
        <v>ESP</v>
      </c>
      <c r="E13" s="13">
        <f>LARGE(Raw_Data!$F$2:$F$121,4)</f>
        <v>898.2</v>
      </c>
    </row>
    <row r="14">
      <c r="A14" s="12">
        <v>5.0</v>
      </c>
      <c r="B14" s="12" t="str">
        <f t="array" ref="B14">INDEX(Raw_Data!$A$2:$A$121,MATCH(E14,Raw_Data!$F$2:$F$121,0))</f>
        <v>W-070</v>
      </c>
      <c r="C14" s="12" t="str">
        <f t="array" ref="C14">INDEX(Raw_Data!$B$2:$B$121,MATCH(E14,Raw_Data!$F$2:$F$121,0))</f>
        <v>Bravo</v>
      </c>
      <c r="D14" s="12" t="str">
        <f t="array" ref="D14">INDEX(Raw_Data!$E$2:$E$121,MATCH(E14,Raw_Data!$F$2:$F$121,0))</f>
        <v>ESP</v>
      </c>
      <c r="E14" s="13">
        <f>LARGE(Raw_Data!$F$2:$F$121,5)</f>
        <v>840.4</v>
      </c>
    </row>
    <row r="15">
      <c r="A15" s="12">
        <v>6.0</v>
      </c>
      <c r="B15" s="12" t="str">
        <f t="array" ref="B15">INDEX(Raw_Data!$A$2:$A$121,MATCH(E15,Raw_Data!$F$2:$F$121,0))</f>
        <v>W-109</v>
      </c>
      <c r="C15" s="12" t="str">
        <f t="array" ref="C15">INDEX(Raw_Data!$B$2:$B$121,MATCH(E15,Raw_Data!$F$2:$F$121,0))</f>
        <v>Charlie</v>
      </c>
      <c r="D15" s="12" t="str">
        <f t="array" ref="D15">INDEX(Raw_Data!$E$2:$E$121,MATCH(E15,Raw_Data!$F$2:$F$121,0))</f>
        <v>ESP</v>
      </c>
      <c r="E15" s="13">
        <f>LARGE(Raw_Data!$F$2:$F$121,6)</f>
        <v>809.4</v>
      </c>
    </row>
    <row r="16">
      <c r="A16" s="12">
        <v>7.0</v>
      </c>
      <c r="B16" s="12" t="str">
        <f t="array" ref="B16">INDEX(Raw_Data!$A$2:$A$121,MATCH(E16,Raw_Data!$F$2:$F$121,0))</f>
        <v>W-097</v>
      </c>
      <c r="C16" s="12" t="str">
        <f t="array" ref="C16">INDEX(Raw_Data!$B$2:$B$121,MATCH(E16,Raw_Data!$F$2:$F$121,0))</f>
        <v>Bravo</v>
      </c>
      <c r="D16" s="12" t="str">
        <f t="array" ref="D16">INDEX(Raw_Data!$E$2:$E$121,MATCH(E16,Raw_Data!$F$2:$F$121,0))</f>
        <v>ESP</v>
      </c>
      <c r="E16" s="13">
        <f>LARGE(Raw_Data!$F$2:$F$121,7)</f>
        <v>784.9</v>
      </c>
    </row>
    <row r="17">
      <c r="A17" s="12">
        <v>8.0</v>
      </c>
      <c r="B17" s="12" t="str">
        <f t="array" ref="B17">INDEX(Raw_Data!$A$2:$A$121,MATCH(E17,Raw_Data!$F$2:$F$121,0))</f>
        <v>W-009</v>
      </c>
      <c r="C17" s="12" t="str">
        <f t="array" ref="C17">INDEX(Raw_Data!$B$2:$B$121,MATCH(E17,Raw_Data!$F$2:$F$121,0))</f>
        <v>Alpha</v>
      </c>
      <c r="D17" s="12" t="str">
        <f t="array" ref="D17">INDEX(Raw_Data!$E$2:$E$121,MATCH(E17,Raw_Data!$F$2:$F$121,0))</f>
        <v>ESP</v>
      </c>
      <c r="E17" s="13">
        <f>LARGE(Raw_Data!$F$2:$F$121,8)</f>
        <v>763.3</v>
      </c>
    </row>
    <row r="18">
      <c r="A18" s="12">
        <v>9.0</v>
      </c>
      <c r="B18" s="12" t="str">
        <f t="array" ref="B18">INDEX(Raw_Data!$A$2:$A$121,MATCH(E18,Raw_Data!$F$2:$F$121,0))</f>
        <v>W-030</v>
      </c>
      <c r="C18" s="12" t="str">
        <f t="array" ref="C18">INDEX(Raw_Data!$B$2:$B$121,MATCH(E18,Raw_Data!$F$2:$F$121,0))</f>
        <v>Alpha</v>
      </c>
      <c r="D18" s="12" t="str">
        <f t="array" ref="D18">INDEX(Raw_Data!$E$2:$E$121,MATCH(E18,Raw_Data!$F$2:$F$121,0))</f>
        <v>ESP</v>
      </c>
      <c r="E18" s="13">
        <f>LARGE(Raw_Data!$F$2:$F$121,9)</f>
        <v>758.3</v>
      </c>
    </row>
    <row r="19">
      <c r="A19" s="12">
        <v>10.0</v>
      </c>
      <c r="B19" s="12" t="str">
        <f t="array" ref="B19">INDEX(Raw_Data!$A$2:$A$121,MATCH(E19,Raw_Data!$F$2:$F$121,0))</f>
        <v>W-087</v>
      </c>
      <c r="C19" s="12" t="str">
        <f t="array" ref="C19">INDEX(Raw_Data!$B$2:$B$121,MATCH(E19,Raw_Data!$F$2:$F$121,0))</f>
        <v>Alpha</v>
      </c>
      <c r="D19" s="12" t="str">
        <f t="array" ref="D19">INDEX(Raw_Data!$E$2:$E$121,MATCH(E19,Raw_Data!$F$2:$F$121,0))</f>
        <v>ESP</v>
      </c>
      <c r="E19" s="13">
        <f>LARGE(Raw_Data!$F$2:$F$121,10)</f>
        <v>743.5</v>
      </c>
    </row>
    <row r="21" ht="15.75" customHeight="1"/>
    <row r="22" ht="15.75" customHeight="1">
      <c r="A22" s="10" t="s">
        <v>13</v>
      </c>
    </row>
    <row r="23" ht="15.75" customHeight="1">
      <c r="A23" s="11" t="s">
        <v>8</v>
      </c>
      <c r="B23" s="11" t="s">
        <v>9</v>
      </c>
      <c r="C23" s="11" t="s">
        <v>10</v>
      </c>
      <c r="D23" s="11" t="s">
        <v>11</v>
      </c>
      <c r="E23" s="11" t="s">
        <v>12</v>
      </c>
    </row>
    <row r="24" ht="15.75" customHeight="1">
      <c r="A24" s="12">
        <v>1.0</v>
      </c>
      <c r="B24" s="12" t="str">
        <f t="array" ref="B24">INDEX(Raw_Data!$A$2:$A$121,MATCH(E24,Raw_Data!$F$2:$F$121,0))</f>
        <v>W-056</v>
      </c>
      <c r="C24" s="12" t="str">
        <f t="array" ref="C24">INDEX(Raw_Data!$B$2:$B$121,MATCH(E24,Raw_Data!$F$2:$F$121,0))</f>
        <v>Charlie</v>
      </c>
      <c r="D24" s="12" t="str">
        <f t="array" ref="D24">INDEX(Raw_Data!$E$2:$E$121,MATCH(E24,Raw_Data!$F$2:$F$121,0))</f>
        <v>Rod Pump</v>
      </c>
      <c r="E24" s="13">
        <f>SMALL(Raw_Data!$F$2:$F$121,1)</f>
        <v>61.2</v>
      </c>
    </row>
    <row r="25" ht="15.75" customHeight="1">
      <c r="A25" s="12">
        <v>2.0</v>
      </c>
      <c r="B25" s="12" t="str">
        <f t="array" ref="B25">INDEX(Raw_Data!$A$2:$A$121,MATCH(E25,Raw_Data!$F$2:$F$121,0))</f>
        <v>W-012</v>
      </c>
      <c r="C25" s="12" t="str">
        <f t="array" ref="C25">INDEX(Raw_Data!$B$2:$B$121,MATCH(E25,Raw_Data!$F$2:$F$121,0))</f>
        <v>Alpha</v>
      </c>
      <c r="D25" s="12" t="str">
        <f t="array" ref="D25">INDEX(Raw_Data!$E$2:$E$121,MATCH(E25,Raw_Data!$F$2:$F$121,0))</f>
        <v>Rod Pump</v>
      </c>
      <c r="E25" s="13">
        <f>SMALL(Raw_Data!$F$2:$F$121,2)</f>
        <v>84.7</v>
      </c>
    </row>
    <row r="26" ht="15.75" customHeight="1">
      <c r="A26" s="12">
        <v>3.0</v>
      </c>
      <c r="B26" s="12" t="str">
        <f t="array" ref="B26">INDEX(Raw_Data!$A$2:$A$121,MATCH(E26,Raw_Data!$F$2:$F$121,0))</f>
        <v>W-035</v>
      </c>
      <c r="C26" s="12" t="str">
        <f t="array" ref="C26">INDEX(Raw_Data!$B$2:$B$121,MATCH(E26,Raw_Data!$F$2:$F$121,0))</f>
        <v>Charlie</v>
      </c>
      <c r="D26" s="12" t="str">
        <f t="array" ref="D26">INDEX(Raw_Data!$E$2:$E$121,MATCH(E26,Raw_Data!$F$2:$F$121,0))</f>
        <v>Rod Pump</v>
      </c>
      <c r="E26" s="13">
        <f>SMALL(Raw_Data!$F$2:$F$121,3)</f>
        <v>86.2</v>
      </c>
    </row>
    <row r="27" ht="15.75" customHeight="1">
      <c r="A27" s="12">
        <v>4.0</v>
      </c>
      <c r="B27" s="12" t="str">
        <f t="array" ref="B27">INDEX(Raw_Data!$A$2:$A$121,MATCH(E27,Raw_Data!$F$2:$F$121,0))</f>
        <v>W-051</v>
      </c>
      <c r="C27" s="12" t="str">
        <f t="array" ref="C27">INDEX(Raw_Data!$B$2:$B$121,MATCH(E27,Raw_Data!$F$2:$F$121,0))</f>
        <v>Charlie</v>
      </c>
      <c r="D27" s="12" t="str">
        <f t="array" ref="D27">INDEX(Raw_Data!$E$2:$E$121,MATCH(E27,Raw_Data!$F$2:$F$121,0))</f>
        <v>Rod Pump</v>
      </c>
      <c r="E27" s="13">
        <f>SMALL(Raw_Data!$F$2:$F$121,4)</f>
        <v>86.9</v>
      </c>
    </row>
    <row r="28" ht="15.75" customHeight="1">
      <c r="A28" s="12">
        <v>5.0</v>
      </c>
      <c r="B28" s="12" t="str">
        <f t="array" ref="B28">INDEX(Raw_Data!$A$2:$A$121,MATCH(E28,Raw_Data!$F$2:$F$121,0))</f>
        <v>W-065</v>
      </c>
      <c r="C28" s="12" t="str">
        <f t="array" ref="C28">INDEX(Raw_Data!$B$2:$B$121,MATCH(E28,Raw_Data!$F$2:$F$121,0))</f>
        <v>Alpha</v>
      </c>
      <c r="D28" s="12" t="str">
        <f t="array" ref="D28">INDEX(Raw_Data!$E$2:$E$121,MATCH(E28,Raw_Data!$F$2:$F$121,0))</f>
        <v>Rod Pump</v>
      </c>
      <c r="E28" s="13">
        <f>SMALL(Raw_Data!$F$2:$F$121,5)</f>
        <v>88.6</v>
      </c>
    </row>
    <row r="29" ht="15.75" customHeight="1">
      <c r="A29" s="12">
        <v>6.0</v>
      </c>
      <c r="B29" s="12" t="str">
        <f t="array" ref="B29">INDEX(Raw_Data!$A$2:$A$121,MATCH(E29,Raw_Data!$F$2:$F$121,0))</f>
        <v>W-073</v>
      </c>
      <c r="C29" s="12" t="str">
        <f t="array" ref="C29">INDEX(Raw_Data!$B$2:$B$121,MATCH(E29,Raw_Data!$F$2:$F$121,0))</f>
        <v>Bravo</v>
      </c>
      <c r="D29" s="12" t="str">
        <f t="array" ref="D29">INDEX(Raw_Data!$E$2:$E$121,MATCH(E29,Raw_Data!$F$2:$F$121,0))</f>
        <v>Rod Pump</v>
      </c>
      <c r="E29" s="13">
        <f>SMALL(Raw_Data!$F$2:$F$121,6)</f>
        <v>105.3</v>
      </c>
    </row>
    <row r="30" ht="15.75" customHeight="1">
      <c r="A30" s="12">
        <v>7.0</v>
      </c>
      <c r="B30" s="12" t="str">
        <f t="array" ref="B30">INDEX(Raw_Data!$A$2:$A$121,MATCH(E30,Raw_Data!$F$2:$F$121,0))</f>
        <v>W-117</v>
      </c>
      <c r="C30" s="12" t="str">
        <f t="array" ref="C30">INDEX(Raw_Data!$B$2:$B$121,MATCH(E30,Raw_Data!$F$2:$F$121,0))</f>
        <v>Alpha</v>
      </c>
      <c r="D30" s="12" t="str">
        <f t="array" ref="D30">INDEX(Raw_Data!$E$2:$E$121,MATCH(E30,Raw_Data!$F$2:$F$121,0))</f>
        <v>Rod Pump</v>
      </c>
      <c r="E30" s="13">
        <f>SMALL(Raw_Data!$F$2:$F$121,7)</f>
        <v>110.6</v>
      </c>
    </row>
    <row r="31" ht="15.75" customHeight="1">
      <c r="A31" s="12">
        <v>8.0</v>
      </c>
      <c r="B31" s="12" t="str">
        <f t="array" ref="B31">INDEX(Raw_Data!$A$2:$A$121,MATCH(E31,Raw_Data!$F$2:$F$121,0))</f>
        <v>W-060</v>
      </c>
      <c r="C31" s="12" t="str">
        <f t="array" ref="C31">INDEX(Raw_Data!$B$2:$B$121,MATCH(E31,Raw_Data!$F$2:$F$121,0))</f>
        <v>Charlie</v>
      </c>
      <c r="D31" s="12" t="str">
        <f t="array" ref="D31">INDEX(Raw_Data!$E$2:$E$121,MATCH(E31,Raw_Data!$F$2:$F$121,0))</f>
        <v>Rod Pump</v>
      </c>
      <c r="E31" s="13">
        <f>SMALL(Raw_Data!$F$2:$F$121,8)</f>
        <v>121.4</v>
      </c>
    </row>
    <row r="32" ht="15.75" customHeight="1">
      <c r="A32" s="12">
        <v>9.0</v>
      </c>
      <c r="B32" s="12" t="str">
        <f t="array" ref="B32">INDEX(Raw_Data!$A$2:$A$121,MATCH(E32,Raw_Data!$F$2:$F$121,0))</f>
        <v>W-083</v>
      </c>
      <c r="C32" s="12" t="str">
        <f t="array" ref="C32">INDEX(Raw_Data!$B$2:$B$121,MATCH(E32,Raw_Data!$F$2:$F$121,0))</f>
        <v>Charlie</v>
      </c>
      <c r="D32" s="12" t="str">
        <f t="array" ref="D32">INDEX(Raw_Data!$E$2:$E$121,MATCH(E32,Raw_Data!$F$2:$F$121,0))</f>
        <v>Gas Lift</v>
      </c>
      <c r="E32" s="13">
        <f>SMALL(Raw_Data!$F$2:$F$121,9)</f>
        <v>139.4</v>
      </c>
    </row>
    <row r="33" ht="15.75" customHeight="1">
      <c r="A33" s="12">
        <v>10.0</v>
      </c>
      <c r="B33" s="12" t="str">
        <f t="array" ref="B33">INDEX(Raw_Data!$A$2:$A$121,MATCH(E33,Raw_Data!$F$2:$F$121,0))</f>
        <v>W-003</v>
      </c>
      <c r="C33" s="12" t="str">
        <f t="array" ref="C33">INDEX(Raw_Data!$B$2:$B$121,MATCH(E33,Raw_Data!$F$2:$F$121,0))</f>
        <v>Charlie</v>
      </c>
      <c r="D33" s="12" t="str">
        <f t="array" ref="D33">INDEX(Raw_Data!$E$2:$E$121,MATCH(E33,Raw_Data!$F$2:$F$121,0))</f>
        <v>Rod Pump</v>
      </c>
      <c r="E33" s="13">
        <f>SMALL(Raw_Data!$F$2:$F$121,10)</f>
        <v>146.6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5" width="16.0"/>
    <col customWidth="1" min="16" max="26" width="8.71"/>
  </cols>
  <sheetData>
    <row r="1">
      <c r="A1" s="14" t="s">
        <v>9</v>
      </c>
      <c r="B1" s="14" t="s">
        <v>10</v>
      </c>
      <c r="C1" s="14" t="s">
        <v>14</v>
      </c>
      <c r="D1" s="14" t="s">
        <v>15</v>
      </c>
      <c r="E1" s="14" t="s">
        <v>11</v>
      </c>
      <c r="F1" s="14" t="s">
        <v>12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29</v>
      </c>
      <c r="F2" s="12">
        <v>414.0</v>
      </c>
      <c r="G2" s="12">
        <v>277.2</v>
      </c>
      <c r="H2" s="12">
        <v>184.3</v>
      </c>
      <c r="I2" s="12">
        <v>30.8</v>
      </c>
      <c r="J2" s="12">
        <v>3406.0</v>
      </c>
      <c r="K2" s="12">
        <v>173.8</v>
      </c>
      <c r="L2" s="12" t="s">
        <v>30</v>
      </c>
      <c r="M2" s="12" t="s">
        <v>31</v>
      </c>
      <c r="N2" s="12">
        <v>10.2</v>
      </c>
      <c r="O2" s="12">
        <v>3945.44</v>
      </c>
    </row>
    <row r="3">
      <c r="A3" s="12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>
        <v>504.5</v>
      </c>
      <c r="G3" s="12">
        <v>415.0</v>
      </c>
      <c r="H3" s="12">
        <v>211.1</v>
      </c>
      <c r="I3" s="12">
        <v>29.5</v>
      </c>
      <c r="J3" s="12">
        <v>2609.0</v>
      </c>
      <c r="K3" s="12">
        <v>209.5</v>
      </c>
      <c r="L3" s="12" t="s">
        <v>30</v>
      </c>
      <c r="M3" s="12" t="s">
        <v>37</v>
      </c>
      <c r="N3" s="12">
        <v>6.3</v>
      </c>
      <c r="O3" s="12">
        <v>3785.77</v>
      </c>
    </row>
    <row r="4">
      <c r="A4" s="12" t="s">
        <v>38</v>
      </c>
      <c r="B4" s="12" t="s">
        <v>26</v>
      </c>
      <c r="C4" s="12" t="s">
        <v>39</v>
      </c>
      <c r="D4" s="12" t="s">
        <v>40</v>
      </c>
      <c r="E4" s="12" t="s">
        <v>41</v>
      </c>
      <c r="F4" s="12">
        <v>146.6</v>
      </c>
      <c r="G4" s="12">
        <v>187.4</v>
      </c>
      <c r="H4" s="12">
        <v>29.6</v>
      </c>
      <c r="I4" s="12">
        <v>16.8</v>
      </c>
      <c r="J4" s="12">
        <v>1974.0</v>
      </c>
      <c r="K4" s="12">
        <v>188.3</v>
      </c>
      <c r="L4" s="12" t="s">
        <v>30</v>
      </c>
      <c r="M4" s="12" t="s">
        <v>42</v>
      </c>
      <c r="N4" s="12">
        <v>1.4</v>
      </c>
      <c r="O4" s="12">
        <v>5181.55</v>
      </c>
    </row>
    <row r="5">
      <c r="A5" s="12" t="s">
        <v>43</v>
      </c>
      <c r="B5" s="12" t="s">
        <v>26</v>
      </c>
      <c r="C5" s="12" t="s">
        <v>27</v>
      </c>
      <c r="D5" s="12" t="s">
        <v>40</v>
      </c>
      <c r="E5" s="12" t="s">
        <v>36</v>
      </c>
      <c r="F5" s="12">
        <v>719.9</v>
      </c>
      <c r="G5" s="12">
        <v>837.7</v>
      </c>
      <c r="H5" s="12">
        <v>260.9</v>
      </c>
      <c r="I5" s="12">
        <v>26.6</v>
      </c>
      <c r="J5" s="12">
        <v>2839.0</v>
      </c>
      <c r="K5" s="12">
        <v>143.7</v>
      </c>
      <c r="L5" s="12" t="s">
        <v>30</v>
      </c>
      <c r="M5" s="12" t="s">
        <v>44</v>
      </c>
      <c r="N5" s="12">
        <v>12.9</v>
      </c>
      <c r="O5" s="12">
        <v>4334.6</v>
      </c>
    </row>
    <row r="6">
      <c r="A6" s="12" t="s">
        <v>45</v>
      </c>
      <c r="B6" s="12" t="s">
        <v>33</v>
      </c>
      <c r="C6" s="12" t="s">
        <v>27</v>
      </c>
      <c r="D6" s="12" t="s">
        <v>28</v>
      </c>
      <c r="E6" s="12" t="s">
        <v>41</v>
      </c>
      <c r="F6" s="12">
        <v>210.9</v>
      </c>
      <c r="G6" s="12">
        <v>171.6</v>
      </c>
      <c r="H6" s="12">
        <v>45.7</v>
      </c>
      <c r="I6" s="12">
        <v>17.8</v>
      </c>
      <c r="J6" s="12">
        <v>2177.0</v>
      </c>
      <c r="K6" s="12">
        <v>214.9</v>
      </c>
      <c r="L6" s="12" t="s">
        <v>30</v>
      </c>
      <c r="M6" s="12" t="s">
        <v>46</v>
      </c>
      <c r="N6" s="12">
        <v>5.6</v>
      </c>
      <c r="O6" s="12">
        <v>3633.49</v>
      </c>
    </row>
    <row r="7">
      <c r="A7" s="12" t="s">
        <v>47</v>
      </c>
      <c r="B7" s="12" t="s">
        <v>26</v>
      </c>
      <c r="C7" s="12" t="s">
        <v>27</v>
      </c>
      <c r="D7" s="12" t="s">
        <v>35</v>
      </c>
      <c r="E7" s="12" t="s">
        <v>29</v>
      </c>
      <c r="F7" s="12">
        <v>400.1</v>
      </c>
      <c r="G7" s="12">
        <v>310.4</v>
      </c>
      <c r="H7" s="12">
        <v>67.3</v>
      </c>
      <c r="I7" s="12">
        <v>14.4</v>
      </c>
      <c r="J7" s="12">
        <v>3039.0</v>
      </c>
      <c r="K7" s="12">
        <v>165.9</v>
      </c>
      <c r="L7" s="12" t="s">
        <v>30</v>
      </c>
      <c r="M7" s="12" t="s">
        <v>48</v>
      </c>
      <c r="N7" s="12">
        <v>13.9</v>
      </c>
      <c r="O7" s="12">
        <v>5300.73</v>
      </c>
    </row>
    <row r="8">
      <c r="A8" s="12" t="s">
        <v>49</v>
      </c>
      <c r="B8" s="12" t="s">
        <v>33</v>
      </c>
      <c r="C8" s="12" t="s">
        <v>27</v>
      </c>
      <c r="D8" s="12" t="s">
        <v>40</v>
      </c>
      <c r="E8" s="12" t="s">
        <v>41</v>
      </c>
      <c r="F8" s="12">
        <v>207.4</v>
      </c>
      <c r="G8" s="12">
        <v>233.2</v>
      </c>
      <c r="H8" s="12">
        <v>127.1</v>
      </c>
      <c r="I8" s="12">
        <v>38.0</v>
      </c>
      <c r="J8" s="12">
        <v>2366.0</v>
      </c>
      <c r="K8" s="12">
        <v>171.7</v>
      </c>
      <c r="L8" s="12" t="s">
        <v>30</v>
      </c>
      <c r="M8" s="12" t="s">
        <v>42</v>
      </c>
      <c r="N8" s="12">
        <v>13.1</v>
      </c>
      <c r="O8" s="12">
        <v>4087.12</v>
      </c>
    </row>
    <row r="9">
      <c r="A9" s="12" t="s">
        <v>50</v>
      </c>
      <c r="B9" s="12" t="s">
        <v>33</v>
      </c>
      <c r="C9" s="12" t="s">
        <v>39</v>
      </c>
      <c r="D9" s="12" t="s">
        <v>28</v>
      </c>
      <c r="E9" s="12" t="s">
        <v>36</v>
      </c>
      <c r="F9" s="12">
        <v>722.5</v>
      </c>
      <c r="G9" s="12">
        <v>642.7</v>
      </c>
      <c r="H9" s="12">
        <v>326.1</v>
      </c>
      <c r="I9" s="12">
        <v>31.1</v>
      </c>
      <c r="J9" s="12">
        <v>2850.0</v>
      </c>
      <c r="K9" s="12">
        <v>219.8</v>
      </c>
      <c r="L9" s="12" t="s">
        <v>30</v>
      </c>
      <c r="M9" s="12" t="s">
        <v>51</v>
      </c>
      <c r="N9" s="12">
        <v>6.4</v>
      </c>
      <c r="O9" s="12">
        <v>2993.06</v>
      </c>
    </row>
    <row r="10">
      <c r="A10" s="12" t="s">
        <v>52</v>
      </c>
      <c r="B10" s="12" t="s">
        <v>33</v>
      </c>
      <c r="C10" s="12" t="s">
        <v>27</v>
      </c>
      <c r="D10" s="12" t="s">
        <v>28</v>
      </c>
      <c r="E10" s="12" t="s">
        <v>36</v>
      </c>
      <c r="F10" s="12">
        <v>763.3</v>
      </c>
      <c r="G10" s="12">
        <v>1066.3</v>
      </c>
      <c r="H10" s="12">
        <v>188.4</v>
      </c>
      <c r="I10" s="12">
        <v>19.8</v>
      </c>
      <c r="J10" s="12">
        <v>2487.0</v>
      </c>
      <c r="K10" s="12">
        <v>182.3</v>
      </c>
      <c r="L10" s="12" t="s">
        <v>30</v>
      </c>
      <c r="M10" s="12" t="s">
        <v>53</v>
      </c>
      <c r="N10" s="12">
        <v>1.0</v>
      </c>
      <c r="O10" s="12">
        <v>3977.98</v>
      </c>
    </row>
    <row r="11">
      <c r="A11" s="12" t="s">
        <v>54</v>
      </c>
      <c r="B11" s="12" t="s">
        <v>26</v>
      </c>
      <c r="C11" s="12" t="s">
        <v>34</v>
      </c>
      <c r="D11" s="12" t="s">
        <v>28</v>
      </c>
      <c r="E11" s="12" t="s">
        <v>29</v>
      </c>
      <c r="F11" s="12">
        <v>483.1</v>
      </c>
      <c r="G11" s="12">
        <v>351.0</v>
      </c>
      <c r="H11" s="12">
        <v>226.3</v>
      </c>
      <c r="I11" s="12">
        <v>31.9</v>
      </c>
      <c r="J11" s="12">
        <v>2328.0</v>
      </c>
      <c r="K11" s="12">
        <v>140.3</v>
      </c>
      <c r="L11" s="12" t="s">
        <v>30</v>
      </c>
      <c r="M11" s="12" t="s">
        <v>55</v>
      </c>
      <c r="N11" s="12">
        <v>5.1</v>
      </c>
      <c r="O11" s="12">
        <v>5087.38</v>
      </c>
    </row>
    <row r="12">
      <c r="A12" s="12" t="s">
        <v>56</v>
      </c>
      <c r="B12" s="12" t="s">
        <v>26</v>
      </c>
      <c r="C12" s="12" t="s">
        <v>27</v>
      </c>
      <c r="D12" s="12" t="s">
        <v>35</v>
      </c>
      <c r="E12" s="12" t="s">
        <v>36</v>
      </c>
      <c r="F12" s="12">
        <v>903.0</v>
      </c>
      <c r="G12" s="12">
        <v>1092.6</v>
      </c>
      <c r="H12" s="12">
        <v>340.8</v>
      </c>
      <c r="I12" s="12">
        <v>27.4</v>
      </c>
      <c r="J12" s="12">
        <v>2075.0</v>
      </c>
      <c r="K12" s="12">
        <v>183.2</v>
      </c>
      <c r="L12" s="12" t="s">
        <v>30</v>
      </c>
      <c r="M12" s="12" t="s">
        <v>57</v>
      </c>
      <c r="N12" s="12">
        <v>9.1</v>
      </c>
      <c r="O12" s="12">
        <v>5246.88</v>
      </c>
    </row>
    <row r="13">
      <c r="A13" s="12" t="s">
        <v>58</v>
      </c>
      <c r="B13" s="12" t="s">
        <v>33</v>
      </c>
      <c r="C13" s="12" t="s">
        <v>34</v>
      </c>
      <c r="D13" s="12" t="s">
        <v>40</v>
      </c>
      <c r="E13" s="12" t="s">
        <v>41</v>
      </c>
      <c r="F13" s="12">
        <v>84.7</v>
      </c>
      <c r="G13" s="12">
        <v>54.7</v>
      </c>
      <c r="H13" s="12">
        <v>47.2</v>
      </c>
      <c r="I13" s="12">
        <v>35.8</v>
      </c>
      <c r="J13" s="12">
        <v>2354.0</v>
      </c>
      <c r="K13" s="12">
        <v>210.2</v>
      </c>
      <c r="L13" s="12" t="s">
        <v>30</v>
      </c>
      <c r="M13" s="12" t="s">
        <v>59</v>
      </c>
      <c r="N13" s="12">
        <v>12.5</v>
      </c>
      <c r="O13" s="12">
        <v>4119.6</v>
      </c>
    </row>
    <row r="14">
      <c r="A14" s="12" t="s">
        <v>60</v>
      </c>
      <c r="B14" s="12" t="s">
        <v>26</v>
      </c>
      <c r="C14" s="12" t="s">
        <v>39</v>
      </c>
      <c r="D14" s="12" t="s">
        <v>28</v>
      </c>
      <c r="E14" s="12" t="s">
        <v>29</v>
      </c>
      <c r="F14" s="12">
        <v>247.6</v>
      </c>
      <c r="G14" s="12">
        <v>339.6</v>
      </c>
      <c r="H14" s="12">
        <v>621.2</v>
      </c>
      <c r="I14" s="12">
        <v>71.5</v>
      </c>
      <c r="J14" s="12">
        <v>1323.0</v>
      </c>
      <c r="K14" s="12">
        <v>214.3</v>
      </c>
      <c r="L14" s="12" t="s">
        <v>30</v>
      </c>
      <c r="M14" s="12" t="s">
        <v>61</v>
      </c>
      <c r="N14" s="12">
        <v>45.9</v>
      </c>
      <c r="O14" s="12">
        <v>5757.77</v>
      </c>
    </row>
    <row r="15">
      <c r="A15" s="12" t="s">
        <v>62</v>
      </c>
      <c r="B15" s="12" t="s">
        <v>33</v>
      </c>
      <c r="C15" s="12" t="s">
        <v>34</v>
      </c>
      <c r="D15" s="12" t="s">
        <v>40</v>
      </c>
      <c r="E15" s="12" t="s">
        <v>41</v>
      </c>
      <c r="F15" s="12">
        <v>318.8</v>
      </c>
      <c r="G15" s="12">
        <v>248.6</v>
      </c>
      <c r="H15" s="12">
        <v>81.2</v>
      </c>
      <c r="I15" s="12">
        <v>20.3</v>
      </c>
      <c r="J15" s="12">
        <v>2018.0</v>
      </c>
      <c r="K15" s="12">
        <v>167.0</v>
      </c>
      <c r="L15" s="12" t="s">
        <v>30</v>
      </c>
      <c r="M15" s="12" t="s">
        <v>63</v>
      </c>
      <c r="N15" s="12">
        <v>7.8</v>
      </c>
      <c r="O15" s="12">
        <v>3590.04</v>
      </c>
    </row>
    <row r="16">
      <c r="A16" s="12" t="s">
        <v>64</v>
      </c>
      <c r="B16" s="12" t="s">
        <v>26</v>
      </c>
      <c r="C16" s="12" t="s">
        <v>27</v>
      </c>
      <c r="D16" s="12" t="s">
        <v>28</v>
      </c>
      <c r="E16" s="12" t="s">
        <v>36</v>
      </c>
      <c r="F16" s="12">
        <v>294.2</v>
      </c>
      <c r="G16" s="12">
        <v>334.0</v>
      </c>
      <c r="H16" s="12">
        <v>372.9</v>
      </c>
      <c r="I16" s="12">
        <v>55.9</v>
      </c>
      <c r="J16" s="12">
        <v>1108.0</v>
      </c>
      <c r="K16" s="12">
        <v>157.1</v>
      </c>
      <c r="L16" s="12" t="s">
        <v>30</v>
      </c>
      <c r="M16" s="12" t="s">
        <v>65</v>
      </c>
      <c r="N16" s="12">
        <v>49.8</v>
      </c>
      <c r="O16" s="12">
        <v>4719.87</v>
      </c>
    </row>
    <row r="17">
      <c r="A17" s="12" t="s">
        <v>66</v>
      </c>
      <c r="B17" s="12" t="s">
        <v>26</v>
      </c>
      <c r="C17" s="12" t="s">
        <v>39</v>
      </c>
      <c r="D17" s="12" t="s">
        <v>28</v>
      </c>
      <c r="E17" s="12" t="s">
        <v>41</v>
      </c>
      <c r="F17" s="12">
        <v>342.2</v>
      </c>
      <c r="G17" s="12">
        <v>333.2</v>
      </c>
      <c r="H17" s="12">
        <v>31.4</v>
      </c>
      <c r="I17" s="12">
        <v>8.4</v>
      </c>
      <c r="J17" s="12">
        <v>2562.0</v>
      </c>
      <c r="K17" s="12">
        <v>198.3</v>
      </c>
      <c r="L17" s="12" t="s">
        <v>30</v>
      </c>
      <c r="M17" s="12" t="s">
        <v>67</v>
      </c>
      <c r="N17" s="12">
        <v>6.5</v>
      </c>
      <c r="O17" s="12">
        <v>5022.62</v>
      </c>
    </row>
    <row r="18">
      <c r="A18" s="12" t="s">
        <v>68</v>
      </c>
      <c r="B18" s="12" t="s">
        <v>33</v>
      </c>
      <c r="C18" s="12" t="s">
        <v>27</v>
      </c>
      <c r="D18" s="12" t="s">
        <v>40</v>
      </c>
      <c r="E18" s="12" t="s">
        <v>29</v>
      </c>
      <c r="F18" s="12">
        <v>443.6</v>
      </c>
      <c r="G18" s="12">
        <v>415.9</v>
      </c>
      <c r="H18" s="12">
        <v>70.4</v>
      </c>
      <c r="I18" s="12">
        <v>13.7</v>
      </c>
      <c r="J18" s="12">
        <v>2608.0</v>
      </c>
      <c r="K18" s="12">
        <v>162.3</v>
      </c>
      <c r="L18" s="12" t="s">
        <v>30</v>
      </c>
      <c r="M18" s="12" t="s">
        <v>69</v>
      </c>
      <c r="N18" s="12">
        <v>2.9</v>
      </c>
      <c r="O18" s="12">
        <v>3083.25</v>
      </c>
    </row>
    <row r="19">
      <c r="A19" s="12" t="s">
        <v>70</v>
      </c>
      <c r="B19" s="12" t="s">
        <v>71</v>
      </c>
      <c r="C19" s="12" t="s">
        <v>34</v>
      </c>
      <c r="D19" s="12" t="s">
        <v>28</v>
      </c>
      <c r="E19" s="12" t="s">
        <v>36</v>
      </c>
      <c r="F19" s="12">
        <v>540.9</v>
      </c>
      <c r="G19" s="12">
        <v>426.8</v>
      </c>
      <c r="H19" s="12">
        <v>31.5</v>
      </c>
      <c r="I19" s="12">
        <v>5.5</v>
      </c>
      <c r="J19" s="12">
        <v>3156.0</v>
      </c>
      <c r="K19" s="12">
        <v>172.5</v>
      </c>
      <c r="L19" s="12" t="s">
        <v>30</v>
      </c>
      <c r="M19" s="12" t="s">
        <v>72</v>
      </c>
      <c r="N19" s="12">
        <v>1.4</v>
      </c>
      <c r="O19" s="12">
        <v>3774.16</v>
      </c>
    </row>
    <row r="20">
      <c r="A20" s="12" t="s">
        <v>73</v>
      </c>
      <c r="B20" s="12" t="s">
        <v>33</v>
      </c>
      <c r="C20" s="12" t="s">
        <v>27</v>
      </c>
      <c r="D20" s="12" t="s">
        <v>40</v>
      </c>
      <c r="E20" s="12" t="s">
        <v>36</v>
      </c>
      <c r="F20" s="12">
        <v>969.1</v>
      </c>
      <c r="G20" s="12">
        <v>1323.6</v>
      </c>
      <c r="H20" s="12">
        <v>464.5</v>
      </c>
      <c r="I20" s="12">
        <v>32.4</v>
      </c>
      <c r="J20" s="12">
        <v>2561.0</v>
      </c>
      <c r="K20" s="12">
        <v>219.6</v>
      </c>
      <c r="L20" s="12" t="s">
        <v>30</v>
      </c>
      <c r="M20" s="12" t="s">
        <v>74</v>
      </c>
      <c r="N20" s="12">
        <v>6.8</v>
      </c>
      <c r="O20" s="12">
        <v>3533.38</v>
      </c>
    </row>
    <row r="21" ht="15.75" customHeight="1">
      <c r="A21" s="12" t="s">
        <v>75</v>
      </c>
      <c r="B21" s="12" t="s">
        <v>33</v>
      </c>
      <c r="C21" s="12" t="s">
        <v>27</v>
      </c>
      <c r="D21" s="12" t="s">
        <v>40</v>
      </c>
      <c r="E21" s="12" t="s">
        <v>36</v>
      </c>
      <c r="F21" s="12">
        <v>959.5</v>
      </c>
      <c r="G21" s="12">
        <v>1024.1</v>
      </c>
      <c r="H21" s="12">
        <v>303.0</v>
      </c>
      <c r="I21" s="12">
        <v>24.0</v>
      </c>
      <c r="J21" s="12">
        <v>1903.0</v>
      </c>
      <c r="K21" s="12">
        <v>180.2</v>
      </c>
      <c r="L21" s="12" t="s">
        <v>30</v>
      </c>
      <c r="M21" s="12" t="s">
        <v>37</v>
      </c>
      <c r="N21" s="12">
        <v>11.2</v>
      </c>
      <c r="O21" s="12">
        <v>3979.48</v>
      </c>
    </row>
    <row r="22" ht="15.75" customHeight="1">
      <c r="A22" s="12" t="s">
        <v>76</v>
      </c>
      <c r="B22" s="12" t="s">
        <v>33</v>
      </c>
      <c r="C22" s="12" t="s">
        <v>34</v>
      </c>
      <c r="D22" s="12" t="s">
        <v>28</v>
      </c>
      <c r="E22" s="12" t="s">
        <v>36</v>
      </c>
      <c r="F22" s="12">
        <v>160.6</v>
      </c>
      <c r="G22" s="12">
        <v>175.9</v>
      </c>
      <c r="H22" s="12">
        <v>327.5</v>
      </c>
      <c r="I22" s="12">
        <v>67.1</v>
      </c>
      <c r="J22" s="12">
        <v>1142.0</v>
      </c>
      <c r="K22" s="12">
        <v>173.5</v>
      </c>
      <c r="L22" s="12" t="s">
        <v>77</v>
      </c>
      <c r="M22" s="12" t="s">
        <v>78</v>
      </c>
      <c r="N22" s="12">
        <v>86.5</v>
      </c>
      <c r="O22" s="12">
        <v>4764.6</v>
      </c>
    </row>
    <row r="23" ht="15.75" customHeight="1">
      <c r="A23" s="12" t="s">
        <v>79</v>
      </c>
      <c r="B23" s="12" t="s">
        <v>71</v>
      </c>
      <c r="C23" s="12" t="s">
        <v>39</v>
      </c>
      <c r="D23" s="12" t="s">
        <v>28</v>
      </c>
      <c r="E23" s="12" t="s">
        <v>29</v>
      </c>
      <c r="F23" s="12">
        <v>536.5</v>
      </c>
      <c r="G23" s="12">
        <v>457.6</v>
      </c>
      <c r="H23" s="12">
        <v>125.0</v>
      </c>
      <c r="I23" s="12">
        <v>18.9</v>
      </c>
      <c r="J23" s="12">
        <v>2340.0</v>
      </c>
      <c r="K23" s="12">
        <v>200.1</v>
      </c>
      <c r="L23" s="12" t="s">
        <v>30</v>
      </c>
      <c r="M23" s="12" t="s">
        <v>42</v>
      </c>
      <c r="N23" s="12">
        <v>10.1</v>
      </c>
      <c r="O23" s="12">
        <v>3315.96</v>
      </c>
    </row>
    <row r="24" ht="15.75" customHeight="1">
      <c r="A24" s="12" t="s">
        <v>80</v>
      </c>
      <c r="B24" s="12" t="s">
        <v>26</v>
      </c>
      <c r="C24" s="12" t="s">
        <v>34</v>
      </c>
      <c r="D24" s="12" t="s">
        <v>28</v>
      </c>
      <c r="E24" s="12" t="s">
        <v>36</v>
      </c>
      <c r="F24" s="12">
        <v>495.1</v>
      </c>
      <c r="G24" s="12">
        <v>393.8</v>
      </c>
      <c r="H24" s="12">
        <v>52.6</v>
      </c>
      <c r="I24" s="12">
        <v>9.6</v>
      </c>
      <c r="J24" s="12">
        <v>1924.0</v>
      </c>
      <c r="K24" s="12">
        <v>162.8</v>
      </c>
      <c r="L24" s="12" t="s">
        <v>30</v>
      </c>
      <c r="M24" s="12" t="s">
        <v>81</v>
      </c>
      <c r="N24" s="12">
        <v>5.2</v>
      </c>
      <c r="O24" s="12">
        <v>4589.2</v>
      </c>
    </row>
    <row r="25" ht="15.75" customHeight="1">
      <c r="A25" s="12" t="s">
        <v>82</v>
      </c>
      <c r="B25" s="12" t="s">
        <v>26</v>
      </c>
      <c r="C25" s="12" t="s">
        <v>39</v>
      </c>
      <c r="D25" s="12" t="s">
        <v>35</v>
      </c>
      <c r="E25" s="12" t="s">
        <v>29</v>
      </c>
      <c r="F25" s="12">
        <v>461.6</v>
      </c>
      <c r="G25" s="12">
        <v>601.2</v>
      </c>
      <c r="H25" s="12">
        <v>149.0</v>
      </c>
      <c r="I25" s="12">
        <v>24.4</v>
      </c>
      <c r="J25" s="12">
        <v>1986.0</v>
      </c>
      <c r="K25" s="12">
        <v>161.2</v>
      </c>
      <c r="L25" s="12" t="s">
        <v>30</v>
      </c>
      <c r="M25" s="12" t="s">
        <v>83</v>
      </c>
      <c r="N25" s="12">
        <v>14.0</v>
      </c>
      <c r="O25" s="12">
        <v>5515.89</v>
      </c>
    </row>
    <row r="26" ht="15.75" customHeight="1">
      <c r="A26" s="12" t="s">
        <v>84</v>
      </c>
      <c r="B26" s="12" t="s">
        <v>33</v>
      </c>
      <c r="C26" s="12" t="s">
        <v>39</v>
      </c>
      <c r="D26" s="12" t="s">
        <v>40</v>
      </c>
      <c r="E26" s="12" t="s">
        <v>29</v>
      </c>
      <c r="F26" s="12">
        <v>334.3</v>
      </c>
      <c r="G26" s="12">
        <v>267.7</v>
      </c>
      <c r="H26" s="12">
        <v>137.2</v>
      </c>
      <c r="I26" s="12">
        <v>29.1</v>
      </c>
      <c r="J26" s="12">
        <v>2710.0</v>
      </c>
      <c r="K26" s="12">
        <v>212.7</v>
      </c>
      <c r="L26" s="12" t="s">
        <v>30</v>
      </c>
      <c r="M26" s="12" t="s">
        <v>85</v>
      </c>
      <c r="N26" s="12">
        <v>12.8</v>
      </c>
      <c r="O26" s="12">
        <v>2977.02</v>
      </c>
    </row>
    <row r="27" ht="15.75" customHeight="1">
      <c r="A27" s="12" t="s">
        <v>86</v>
      </c>
      <c r="B27" s="12" t="s">
        <v>71</v>
      </c>
      <c r="C27" s="12" t="s">
        <v>39</v>
      </c>
      <c r="D27" s="12" t="s">
        <v>28</v>
      </c>
      <c r="E27" s="12" t="s">
        <v>36</v>
      </c>
      <c r="F27" s="12">
        <v>282.2</v>
      </c>
      <c r="G27" s="12">
        <v>194.6</v>
      </c>
      <c r="H27" s="12">
        <v>419.8</v>
      </c>
      <c r="I27" s="12">
        <v>59.8</v>
      </c>
      <c r="J27" s="12">
        <v>1223.0</v>
      </c>
      <c r="K27" s="12">
        <v>215.6</v>
      </c>
      <c r="L27" s="12" t="s">
        <v>77</v>
      </c>
      <c r="M27" s="12" t="s">
        <v>87</v>
      </c>
      <c r="N27" s="12">
        <v>56.5</v>
      </c>
      <c r="O27" s="12">
        <v>4902.57</v>
      </c>
    </row>
    <row r="28" ht="15.75" customHeight="1">
      <c r="A28" s="12" t="s">
        <v>88</v>
      </c>
      <c r="B28" s="12" t="s">
        <v>26</v>
      </c>
      <c r="C28" s="12" t="s">
        <v>27</v>
      </c>
      <c r="D28" s="12" t="s">
        <v>40</v>
      </c>
      <c r="E28" s="12" t="s">
        <v>29</v>
      </c>
      <c r="F28" s="12">
        <v>541.7</v>
      </c>
      <c r="G28" s="12">
        <v>746.3</v>
      </c>
      <c r="H28" s="12">
        <v>37.7</v>
      </c>
      <c r="I28" s="12">
        <v>6.5</v>
      </c>
      <c r="J28" s="12">
        <v>3480.0</v>
      </c>
      <c r="K28" s="12">
        <v>143.2</v>
      </c>
      <c r="L28" s="12" t="s">
        <v>30</v>
      </c>
      <c r="M28" s="12" t="s">
        <v>89</v>
      </c>
      <c r="N28" s="12">
        <v>5.5</v>
      </c>
      <c r="O28" s="12">
        <v>4452.24</v>
      </c>
    </row>
    <row r="29" ht="15.75" customHeight="1">
      <c r="A29" s="12" t="s">
        <v>90</v>
      </c>
      <c r="B29" s="12" t="s">
        <v>33</v>
      </c>
      <c r="C29" s="12" t="s">
        <v>34</v>
      </c>
      <c r="D29" s="12" t="s">
        <v>28</v>
      </c>
      <c r="E29" s="12" t="s">
        <v>41</v>
      </c>
      <c r="F29" s="12">
        <v>267.2</v>
      </c>
      <c r="G29" s="12">
        <v>359.1</v>
      </c>
      <c r="H29" s="12">
        <v>63.5</v>
      </c>
      <c r="I29" s="12">
        <v>19.2</v>
      </c>
      <c r="J29" s="12">
        <v>2078.0</v>
      </c>
      <c r="K29" s="12">
        <v>209.2</v>
      </c>
      <c r="L29" s="12" t="s">
        <v>30</v>
      </c>
      <c r="M29" s="12" t="s">
        <v>91</v>
      </c>
      <c r="N29" s="12">
        <v>9.3</v>
      </c>
      <c r="O29" s="12">
        <v>4109.04</v>
      </c>
    </row>
    <row r="30" ht="15.75" customHeight="1">
      <c r="A30" s="12" t="s">
        <v>92</v>
      </c>
      <c r="B30" s="12" t="s">
        <v>71</v>
      </c>
      <c r="C30" s="12" t="s">
        <v>27</v>
      </c>
      <c r="D30" s="12" t="s">
        <v>28</v>
      </c>
      <c r="E30" s="12" t="s">
        <v>29</v>
      </c>
      <c r="F30" s="12">
        <v>712.8</v>
      </c>
      <c r="G30" s="12">
        <v>569.2</v>
      </c>
      <c r="H30" s="12">
        <v>171.6</v>
      </c>
      <c r="I30" s="12">
        <v>19.4</v>
      </c>
      <c r="J30" s="12">
        <v>3123.0</v>
      </c>
      <c r="K30" s="12">
        <v>152.7</v>
      </c>
      <c r="L30" s="12" t="s">
        <v>30</v>
      </c>
      <c r="M30" s="12" t="s">
        <v>93</v>
      </c>
      <c r="N30" s="12">
        <v>10.0</v>
      </c>
      <c r="O30" s="12">
        <v>4219.84</v>
      </c>
    </row>
    <row r="31" ht="15.75" customHeight="1">
      <c r="A31" s="12" t="s">
        <v>94</v>
      </c>
      <c r="B31" s="12" t="s">
        <v>33</v>
      </c>
      <c r="C31" s="12" t="s">
        <v>39</v>
      </c>
      <c r="D31" s="12" t="s">
        <v>28</v>
      </c>
      <c r="E31" s="12" t="s">
        <v>36</v>
      </c>
      <c r="F31" s="12">
        <v>758.3</v>
      </c>
      <c r="G31" s="12">
        <v>469.3</v>
      </c>
      <c r="H31" s="12">
        <v>141.2</v>
      </c>
      <c r="I31" s="12">
        <v>15.7</v>
      </c>
      <c r="J31" s="12">
        <v>2210.0</v>
      </c>
      <c r="K31" s="12">
        <v>155.5</v>
      </c>
      <c r="L31" s="12" t="s">
        <v>30</v>
      </c>
      <c r="M31" s="12" t="s">
        <v>95</v>
      </c>
      <c r="N31" s="12">
        <v>11.9</v>
      </c>
      <c r="O31" s="12">
        <v>3318.68</v>
      </c>
    </row>
    <row r="32" ht="15.75" customHeight="1">
      <c r="A32" s="12" t="s">
        <v>96</v>
      </c>
      <c r="B32" s="12" t="s">
        <v>71</v>
      </c>
      <c r="C32" s="12" t="s">
        <v>39</v>
      </c>
      <c r="D32" s="12" t="s">
        <v>35</v>
      </c>
      <c r="E32" s="12" t="s">
        <v>29</v>
      </c>
      <c r="F32" s="12">
        <v>409.9</v>
      </c>
      <c r="G32" s="12">
        <v>564.2</v>
      </c>
      <c r="H32" s="12">
        <v>128.0</v>
      </c>
      <c r="I32" s="12">
        <v>23.8</v>
      </c>
      <c r="J32" s="12">
        <v>2008.0</v>
      </c>
      <c r="K32" s="12">
        <v>154.3</v>
      </c>
      <c r="L32" s="12" t="s">
        <v>30</v>
      </c>
      <c r="M32" s="12" t="s">
        <v>55</v>
      </c>
      <c r="N32" s="12">
        <v>14.1</v>
      </c>
      <c r="O32" s="12">
        <v>4657.55</v>
      </c>
    </row>
    <row r="33" ht="15.75" customHeight="1">
      <c r="A33" s="12" t="s">
        <v>97</v>
      </c>
      <c r="B33" s="12" t="s">
        <v>33</v>
      </c>
      <c r="C33" s="12" t="s">
        <v>27</v>
      </c>
      <c r="D33" s="12" t="s">
        <v>35</v>
      </c>
      <c r="E33" s="12" t="s">
        <v>41</v>
      </c>
      <c r="F33" s="12">
        <v>234.3</v>
      </c>
      <c r="G33" s="12">
        <v>309.2</v>
      </c>
      <c r="H33" s="12">
        <v>59.7</v>
      </c>
      <c r="I33" s="12">
        <v>20.3</v>
      </c>
      <c r="J33" s="12">
        <v>2008.0</v>
      </c>
      <c r="K33" s="12">
        <v>155.2</v>
      </c>
      <c r="L33" s="12" t="s">
        <v>30</v>
      </c>
      <c r="M33" s="12" t="s">
        <v>98</v>
      </c>
      <c r="N33" s="12">
        <v>14.8</v>
      </c>
      <c r="O33" s="12">
        <v>2998.81</v>
      </c>
    </row>
    <row r="34" ht="15.75" customHeight="1">
      <c r="A34" s="12" t="s">
        <v>99</v>
      </c>
      <c r="B34" s="12" t="s">
        <v>33</v>
      </c>
      <c r="C34" s="12" t="s">
        <v>34</v>
      </c>
      <c r="D34" s="12" t="s">
        <v>35</v>
      </c>
      <c r="E34" s="12" t="s">
        <v>29</v>
      </c>
      <c r="F34" s="12">
        <v>430.2</v>
      </c>
      <c r="G34" s="12">
        <v>486.7</v>
      </c>
      <c r="H34" s="12">
        <v>171.5</v>
      </c>
      <c r="I34" s="12">
        <v>28.5</v>
      </c>
      <c r="J34" s="12">
        <v>1926.0</v>
      </c>
      <c r="K34" s="12">
        <v>166.4</v>
      </c>
      <c r="L34" s="12" t="s">
        <v>30</v>
      </c>
      <c r="M34" s="12" t="s">
        <v>100</v>
      </c>
      <c r="N34" s="12">
        <v>5.5</v>
      </c>
      <c r="O34" s="12">
        <v>3204.31</v>
      </c>
    </row>
    <row r="35" ht="15.75" customHeight="1">
      <c r="A35" s="12" t="s">
        <v>101</v>
      </c>
      <c r="B35" s="12" t="s">
        <v>26</v>
      </c>
      <c r="C35" s="12" t="s">
        <v>39</v>
      </c>
      <c r="D35" s="12" t="s">
        <v>35</v>
      </c>
      <c r="E35" s="12" t="s">
        <v>41</v>
      </c>
      <c r="F35" s="12">
        <v>300.1</v>
      </c>
      <c r="G35" s="12">
        <v>339.7</v>
      </c>
      <c r="H35" s="12">
        <v>125.0</v>
      </c>
      <c r="I35" s="12">
        <v>29.4</v>
      </c>
      <c r="J35" s="12">
        <v>2145.0</v>
      </c>
      <c r="K35" s="12">
        <v>170.3</v>
      </c>
      <c r="L35" s="12" t="s">
        <v>30</v>
      </c>
      <c r="M35" s="12" t="s">
        <v>102</v>
      </c>
      <c r="N35" s="12">
        <v>8.3</v>
      </c>
      <c r="O35" s="12">
        <v>5181.22</v>
      </c>
    </row>
    <row r="36" ht="15.75" customHeight="1">
      <c r="A36" s="12" t="s">
        <v>103</v>
      </c>
      <c r="B36" s="12" t="s">
        <v>26</v>
      </c>
      <c r="C36" s="12" t="s">
        <v>34</v>
      </c>
      <c r="D36" s="12" t="s">
        <v>40</v>
      </c>
      <c r="E36" s="12" t="s">
        <v>41</v>
      </c>
      <c r="F36" s="12">
        <v>86.2</v>
      </c>
      <c r="G36" s="12">
        <v>82.2</v>
      </c>
      <c r="H36" s="12">
        <v>182.3</v>
      </c>
      <c r="I36" s="12">
        <v>67.9</v>
      </c>
      <c r="J36" s="12">
        <v>1193.0</v>
      </c>
      <c r="K36" s="12">
        <v>194.1</v>
      </c>
      <c r="L36" s="12" t="s">
        <v>30</v>
      </c>
      <c r="M36" s="12" t="s">
        <v>104</v>
      </c>
      <c r="N36" s="12">
        <v>64.8</v>
      </c>
      <c r="O36" s="12">
        <v>5611.67</v>
      </c>
    </row>
    <row r="37" ht="15.75" customHeight="1">
      <c r="A37" s="12" t="s">
        <v>105</v>
      </c>
      <c r="B37" s="12" t="s">
        <v>26</v>
      </c>
      <c r="C37" s="12" t="s">
        <v>27</v>
      </c>
      <c r="D37" s="12" t="s">
        <v>40</v>
      </c>
      <c r="E37" s="12" t="s">
        <v>29</v>
      </c>
      <c r="F37" s="12">
        <v>592.9</v>
      </c>
      <c r="G37" s="12">
        <v>503.0</v>
      </c>
      <c r="H37" s="12">
        <v>53.7</v>
      </c>
      <c r="I37" s="12">
        <v>8.3</v>
      </c>
      <c r="J37" s="12">
        <v>2223.0</v>
      </c>
      <c r="K37" s="12">
        <v>204.5</v>
      </c>
      <c r="L37" s="12" t="s">
        <v>30</v>
      </c>
      <c r="M37" s="12" t="s">
        <v>106</v>
      </c>
      <c r="N37" s="12">
        <v>14.3</v>
      </c>
      <c r="O37" s="12">
        <v>4213.84</v>
      </c>
    </row>
    <row r="38" ht="15.75" customHeight="1">
      <c r="A38" s="12" t="s">
        <v>107</v>
      </c>
      <c r="B38" s="12" t="s">
        <v>33</v>
      </c>
      <c r="C38" s="12" t="s">
        <v>39</v>
      </c>
      <c r="D38" s="12" t="s">
        <v>35</v>
      </c>
      <c r="E38" s="12" t="s">
        <v>36</v>
      </c>
      <c r="F38" s="12">
        <v>577.7</v>
      </c>
      <c r="G38" s="12">
        <v>531.3</v>
      </c>
      <c r="H38" s="12">
        <v>193.6</v>
      </c>
      <c r="I38" s="12">
        <v>25.1</v>
      </c>
      <c r="J38" s="12">
        <v>2491.0</v>
      </c>
      <c r="K38" s="12">
        <v>151.8</v>
      </c>
      <c r="L38" s="12" t="s">
        <v>30</v>
      </c>
      <c r="M38" s="12" t="s">
        <v>108</v>
      </c>
      <c r="N38" s="12">
        <v>10.8</v>
      </c>
      <c r="O38" s="12">
        <v>3762.16</v>
      </c>
    </row>
    <row r="39" ht="15.75" customHeight="1">
      <c r="A39" s="12" t="s">
        <v>109</v>
      </c>
      <c r="B39" s="12" t="s">
        <v>71</v>
      </c>
      <c r="C39" s="12" t="s">
        <v>27</v>
      </c>
      <c r="D39" s="12" t="s">
        <v>28</v>
      </c>
      <c r="E39" s="12" t="s">
        <v>29</v>
      </c>
      <c r="F39" s="12">
        <v>210.2</v>
      </c>
      <c r="G39" s="12">
        <v>285.9</v>
      </c>
      <c r="H39" s="12">
        <v>867.7</v>
      </c>
      <c r="I39" s="12">
        <v>80.5</v>
      </c>
      <c r="J39" s="12">
        <v>1281.0</v>
      </c>
      <c r="K39" s="12">
        <v>211.3</v>
      </c>
      <c r="L39" s="12" t="s">
        <v>30</v>
      </c>
      <c r="M39" s="12" t="s">
        <v>110</v>
      </c>
      <c r="N39" s="12">
        <v>57.4</v>
      </c>
      <c r="O39" s="12">
        <v>4803.22</v>
      </c>
    </row>
    <row r="40" ht="15.75" customHeight="1">
      <c r="A40" s="12" t="s">
        <v>111</v>
      </c>
      <c r="B40" s="12" t="s">
        <v>71</v>
      </c>
      <c r="C40" s="12" t="s">
        <v>34</v>
      </c>
      <c r="D40" s="12" t="s">
        <v>40</v>
      </c>
      <c r="E40" s="12" t="s">
        <v>36</v>
      </c>
      <c r="F40" s="12">
        <v>577.5</v>
      </c>
      <c r="G40" s="12">
        <v>700.3</v>
      </c>
      <c r="H40" s="12">
        <v>94.8</v>
      </c>
      <c r="I40" s="12">
        <v>14.1</v>
      </c>
      <c r="J40" s="12">
        <v>2948.0</v>
      </c>
      <c r="K40" s="12">
        <v>181.7</v>
      </c>
      <c r="L40" s="12" t="s">
        <v>30</v>
      </c>
      <c r="M40" s="12" t="s">
        <v>112</v>
      </c>
      <c r="N40" s="12">
        <v>3.7</v>
      </c>
      <c r="O40" s="12">
        <v>4018.02</v>
      </c>
    </row>
    <row r="41" ht="15.75" customHeight="1">
      <c r="A41" s="12" t="s">
        <v>113</v>
      </c>
      <c r="B41" s="12" t="s">
        <v>71</v>
      </c>
      <c r="C41" s="12" t="s">
        <v>27</v>
      </c>
      <c r="D41" s="12" t="s">
        <v>35</v>
      </c>
      <c r="E41" s="12" t="s">
        <v>41</v>
      </c>
      <c r="F41" s="12">
        <v>195.9</v>
      </c>
      <c r="G41" s="12">
        <v>177.6</v>
      </c>
      <c r="H41" s="12">
        <v>111.6</v>
      </c>
      <c r="I41" s="12">
        <v>36.3</v>
      </c>
      <c r="J41" s="12">
        <v>2071.0</v>
      </c>
      <c r="K41" s="12">
        <v>152.2</v>
      </c>
      <c r="L41" s="12" t="s">
        <v>30</v>
      </c>
      <c r="M41" s="12" t="s">
        <v>114</v>
      </c>
      <c r="N41" s="12">
        <v>1.2</v>
      </c>
      <c r="O41" s="12">
        <v>3386.09</v>
      </c>
    </row>
    <row r="42" ht="15.75" customHeight="1">
      <c r="A42" s="12" t="s">
        <v>115</v>
      </c>
      <c r="B42" s="12" t="s">
        <v>71</v>
      </c>
      <c r="C42" s="12" t="s">
        <v>39</v>
      </c>
      <c r="D42" s="12" t="s">
        <v>35</v>
      </c>
      <c r="E42" s="12" t="s">
        <v>41</v>
      </c>
      <c r="F42" s="12">
        <v>224.7</v>
      </c>
      <c r="G42" s="12">
        <v>259.8</v>
      </c>
      <c r="H42" s="12">
        <v>55.1</v>
      </c>
      <c r="I42" s="12">
        <v>19.7</v>
      </c>
      <c r="J42" s="12">
        <v>2851.0</v>
      </c>
      <c r="K42" s="12">
        <v>208.5</v>
      </c>
      <c r="L42" s="12" t="s">
        <v>30</v>
      </c>
      <c r="M42" s="12" t="s">
        <v>93</v>
      </c>
      <c r="N42" s="12">
        <v>13.6</v>
      </c>
      <c r="O42" s="12">
        <v>4366.46</v>
      </c>
    </row>
    <row r="43" ht="15.75" customHeight="1">
      <c r="A43" s="12" t="s">
        <v>116</v>
      </c>
      <c r="B43" s="12" t="s">
        <v>71</v>
      </c>
      <c r="C43" s="12" t="s">
        <v>27</v>
      </c>
      <c r="D43" s="12" t="s">
        <v>40</v>
      </c>
      <c r="E43" s="12" t="s">
        <v>41</v>
      </c>
      <c r="F43" s="12">
        <v>374.9</v>
      </c>
      <c r="G43" s="12">
        <v>388.7</v>
      </c>
      <c r="H43" s="12">
        <v>233.7</v>
      </c>
      <c r="I43" s="12">
        <v>38.4</v>
      </c>
      <c r="J43" s="12">
        <v>3146.0</v>
      </c>
      <c r="K43" s="12">
        <v>188.3</v>
      </c>
      <c r="L43" s="12" t="s">
        <v>30</v>
      </c>
      <c r="M43" s="12" t="s">
        <v>117</v>
      </c>
      <c r="N43" s="12">
        <v>6.3</v>
      </c>
      <c r="O43" s="12">
        <v>3472.08</v>
      </c>
    </row>
    <row r="44" ht="15.75" customHeight="1">
      <c r="A44" s="12" t="s">
        <v>118</v>
      </c>
      <c r="B44" s="12" t="s">
        <v>71</v>
      </c>
      <c r="C44" s="12" t="s">
        <v>39</v>
      </c>
      <c r="D44" s="12" t="s">
        <v>40</v>
      </c>
      <c r="E44" s="12" t="s">
        <v>36</v>
      </c>
      <c r="F44" s="12">
        <v>544.4</v>
      </c>
      <c r="G44" s="12">
        <v>727.1</v>
      </c>
      <c r="H44" s="12">
        <v>266.9</v>
      </c>
      <c r="I44" s="12">
        <v>32.9</v>
      </c>
      <c r="J44" s="12">
        <v>3313.0</v>
      </c>
      <c r="K44" s="12">
        <v>218.5</v>
      </c>
      <c r="L44" s="12" t="s">
        <v>30</v>
      </c>
      <c r="M44" s="12" t="s">
        <v>119</v>
      </c>
      <c r="N44" s="12">
        <v>10.9</v>
      </c>
      <c r="O44" s="12">
        <v>3992.64</v>
      </c>
    </row>
    <row r="45" ht="15.75" customHeight="1">
      <c r="A45" s="12" t="s">
        <v>120</v>
      </c>
      <c r="B45" s="12" t="s">
        <v>26</v>
      </c>
      <c r="C45" s="12" t="s">
        <v>34</v>
      </c>
      <c r="D45" s="12" t="s">
        <v>35</v>
      </c>
      <c r="E45" s="12" t="s">
        <v>36</v>
      </c>
      <c r="F45" s="12">
        <v>313.6</v>
      </c>
      <c r="G45" s="12">
        <v>270.3</v>
      </c>
      <c r="H45" s="12">
        <v>171.1</v>
      </c>
      <c r="I45" s="12">
        <v>35.3</v>
      </c>
      <c r="J45" s="12">
        <v>2268.0</v>
      </c>
      <c r="K45" s="12">
        <v>176.4</v>
      </c>
      <c r="L45" s="12" t="s">
        <v>30</v>
      </c>
      <c r="M45" s="12" t="s">
        <v>93</v>
      </c>
      <c r="N45" s="12">
        <v>2.7</v>
      </c>
      <c r="O45" s="12">
        <v>4374.5</v>
      </c>
    </row>
    <row r="46" ht="15.75" customHeight="1">
      <c r="A46" s="12" t="s">
        <v>121</v>
      </c>
      <c r="B46" s="12" t="s">
        <v>71</v>
      </c>
      <c r="C46" s="12" t="s">
        <v>39</v>
      </c>
      <c r="D46" s="12" t="s">
        <v>40</v>
      </c>
      <c r="E46" s="12" t="s">
        <v>36</v>
      </c>
      <c r="F46" s="12">
        <v>585.2</v>
      </c>
      <c r="G46" s="12">
        <v>383.2</v>
      </c>
      <c r="H46" s="12">
        <v>42.7</v>
      </c>
      <c r="I46" s="12">
        <v>6.8</v>
      </c>
      <c r="J46" s="12">
        <v>2204.0</v>
      </c>
      <c r="K46" s="12">
        <v>216.6</v>
      </c>
      <c r="L46" s="12" t="s">
        <v>30</v>
      </c>
      <c r="M46" s="12" t="s">
        <v>122</v>
      </c>
      <c r="N46" s="12">
        <v>14.3</v>
      </c>
      <c r="O46" s="12">
        <v>3332.47</v>
      </c>
    </row>
    <row r="47" ht="15.75" customHeight="1">
      <c r="A47" s="12" t="s">
        <v>123</v>
      </c>
      <c r="B47" s="12" t="s">
        <v>33</v>
      </c>
      <c r="C47" s="12" t="s">
        <v>27</v>
      </c>
      <c r="D47" s="12" t="s">
        <v>28</v>
      </c>
      <c r="E47" s="12" t="s">
        <v>29</v>
      </c>
      <c r="F47" s="12">
        <v>173.0</v>
      </c>
      <c r="G47" s="12">
        <v>127.0</v>
      </c>
      <c r="H47" s="12">
        <v>442.7</v>
      </c>
      <c r="I47" s="12">
        <v>71.9</v>
      </c>
      <c r="J47" s="12">
        <v>1220.0</v>
      </c>
      <c r="K47" s="12">
        <v>188.6</v>
      </c>
      <c r="L47" s="12" t="s">
        <v>30</v>
      </c>
      <c r="M47" s="12" t="s">
        <v>124</v>
      </c>
      <c r="N47" s="12">
        <v>43.1</v>
      </c>
      <c r="O47" s="12">
        <v>4323.84</v>
      </c>
    </row>
    <row r="48" ht="15.75" customHeight="1">
      <c r="A48" s="12" t="s">
        <v>125</v>
      </c>
      <c r="B48" s="12" t="s">
        <v>33</v>
      </c>
      <c r="C48" s="12" t="s">
        <v>39</v>
      </c>
      <c r="D48" s="12" t="s">
        <v>28</v>
      </c>
      <c r="E48" s="12" t="s">
        <v>29</v>
      </c>
      <c r="F48" s="12">
        <v>260.3</v>
      </c>
      <c r="G48" s="12">
        <v>305.1</v>
      </c>
      <c r="H48" s="12">
        <v>104.8</v>
      </c>
      <c r="I48" s="12">
        <v>28.7</v>
      </c>
      <c r="J48" s="12">
        <v>2514.0</v>
      </c>
      <c r="K48" s="12">
        <v>146.1</v>
      </c>
      <c r="L48" s="12" t="s">
        <v>30</v>
      </c>
      <c r="M48" s="12" t="s">
        <v>126</v>
      </c>
      <c r="N48" s="12">
        <v>14.4</v>
      </c>
      <c r="O48" s="12">
        <v>3819.99</v>
      </c>
    </row>
    <row r="49" ht="15.75" customHeight="1">
      <c r="A49" s="12" t="s">
        <v>127</v>
      </c>
      <c r="B49" s="12" t="s">
        <v>33</v>
      </c>
      <c r="C49" s="12" t="s">
        <v>27</v>
      </c>
      <c r="D49" s="12" t="s">
        <v>35</v>
      </c>
      <c r="E49" s="12" t="s">
        <v>41</v>
      </c>
      <c r="F49" s="12">
        <v>408.4</v>
      </c>
      <c r="G49" s="12">
        <v>358.5</v>
      </c>
      <c r="H49" s="12">
        <v>41.4</v>
      </c>
      <c r="I49" s="12">
        <v>9.2</v>
      </c>
      <c r="J49" s="12">
        <v>3209.0</v>
      </c>
      <c r="K49" s="12">
        <v>174.3</v>
      </c>
      <c r="L49" s="12" t="s">
        <v>30</v>
      </c>
      <c r="M49" s="12" t="s">
        <v>110</v>
      </c>
      <c r="N49" s="12">
        <v>14.8</v>
      </c>
      <c r="O49" s="12">
        <v>3416.33</v>
      </c>
    </row>
    <row r="50" ht="15.75" customHeight="1">
      <c r="A50" s="12" t="s">
        <v>128</v>
      </c>
      <c r="B50" s="12" t="s">
        <v>26</v>
      </c>
      <c r="C50" s="12" t="s">
        <v>39</v>
      </c>
      <c r="D50" s="12" t="s">
        <v>28</v>
      </c>
      <c r="E50" s="12" t="s">
        <v>41</v>
      </c>
      <c r="F50" s="12">
        <v>188.0</v>
      </c>
      <c r="G50" s="12">
        <v>139.3</v>
      </c>
      <c r="H50" s="12">
        <v>537.9</v>
      </c>
      <c r="I50" s="12">
        <v>74.1</v>
      </c>
      <c r="J50" s="12">
        <v>1224.0</v>
      </c>
      <c r="K50" s="12">
        <v>181.7</v>
      </c>
      <c r="L50" s="12" t="s">
        <v>30</v>
      </c>
      <c r="M50" s="12" t="s">
        <v>129</v>
      </c>
      <c r="N50" s="12">
        <v>79.7</v>
      </c>
      <c r="O50" s="12">
        <v>6080.31</v>
      </c>
    </row>
    <row r="51" ht="15.75" customHeight="1">
      <c r="A51" s="12" t="s">
        <v>130</v>
      </c>
      <c r="B51" s="12" t="s">
        <v>26</v>
      </c>
      <c r="C51" s="12" t="s">
        <v>39</v>
      </c>
      <c r="D51" s="12" t="s">
        <v>40</v>
      </c>
      <c r="E51" s="12" t="s">
        <v>41</v>
      </c>
      <c r="F51" s="12">
        <v>347.7</v>
      </c>
      <c r="G51" s="12">
        <v>286.2</v>
      </c>
      <c r="H51" s="12">
        <v>67.7</v>
      </c>
      <c r="I51" s="12">
        <v>16.3</v>
      </c>
      <c r="J51" s="12">
        <v>3482.0</v>
      </c>
      <c r="K51" s="12">
        <v>176.1</v>
      </c>
      <c r="L51" s="12" t="s">
        <v>30</v>
      </c>
      <c r="M51" s="12" t="s">
        <v>131</v>
      </c>
      <c r="N51" s="12">
        <v>3.7</v>
      </c>
      <c r="O51" s="12">
        <v>5116.34</v>
      </c>
    </row>
    <row r="52" ht="15.75" customHeight="1">
      <c r="A52" s="12" t="s">
        <v>132</v>
      </c>
      <c r="B52" s="12" t="s">
        <v>26</v>
      </c>
      <c r="C52" s="12" t="s">
        <v>34</v>
      </c>
      <c r="D52" s="12" t="s">
        <v>40</v>
      </c>
      <c r="E52" s="12" t="s">
        <v>41</v>
      </c>
      <c r="F52" s="12">
        <v>86.9</v>
      </c>
      <c r="G52" s="12">
        <v>75.8</v>
      </c>
      <c r="H52" s="12">
        <v>11.2</v>
      </c>
      <c r="I52" s="12">
        <v>11.4</v>
      </c>
      <c r="J52" s="12">
        <v>3236.0</v>
      </c>
      <c r="K52" s="12">
        <v>210.4</v>
      </c>
      <c r="L52" s="12" t="s">
        <v>30</v>
      </c>
      <c r="M52" s="12" t="s">
        <v>112</v>
      </c>
      <c r="N52" s="12">
        <v>3.2</v>
      </c>
      <c r="O52" s="12">
        <v>5022.08</v>
      </c>
    </row>
    <row r="53" ht="15.75" customHeight="1">
      <c r="A53" s="12" t="s">
        <v>133</v>
      </c>
      <c r="B53" s="12" t="s">
        <v>26</v>
      </c>
      <c r="C53" s="12" t="s">
        <v>27</v>
      </c>
      <c r="D53" s="12" t="s">
        <v>35</v>
      </c>
      <c r="E53" s="12" t="s">
        <v>36</v>
      </c>
      <c r="F53" s="12">
        <v>451.7</v>
      </c>
      <c r="G53" s="12">
        <v>504.4</v>
      </c>
      <c r="H53" s="12">
        <v>128.1</v>
      </c>
      <c r="I53" s="12">
        <v>22.1</v>
      </c>
      <c r="J53" s="12">
        <v>3043.0</v>
      </c>
      <c r="K53" s="12">
        <v>179.3</v>
      </c>
      <c r="L53" s="12" t="s">
        <v>30</v>
      </c>
      <c r="M53" s="12" t="s">
        <v>134</v>
      </c>
      <c r="N53" s="12">
        <v>11.4</v>
      </c>
      <c r="O53" s="12">
        <v>5306.56</v>
      </c>
    </row>
    <row r="54" ht="15.75" customHeight="1">
      <c r="A54" s="12" t="s">
        <v>135</v>
      </c>
      <c r="B54" s="12" t="s">
        <v>71</v>
      </c>
      <c r="C54" s="12" t="s">
        <v>27</v>
      </c>
      <c r="D54" s="12" t="s">
        <v>40</v>
      </c>
      <c r="E54" s="12" t="s">
        <v>29</v>
      </c>
      <c r="F54" s="12">
        <v>399.4</v>
      </c>
      <c r="G54" s="12">
        <v>558.1</v>
      </c>
      <c r="H54" s="12">
        <v>87.1</v>
      </c>
      <c r="I54" s="12">
        <v>17.9</v>
      </c>
      <c r="J54" s="12">
        <v>2419.0</v>
      </c>
      <c r="K54" s="12">
        <v>184.0</v>
      </c>
      <c r="L54" s="12" t="s">
        <v>30</v>
      </c>
      <c r="M54" s="12" t="s">
        <v>136</v>
      </c>
      <c r="N54" s="12">
        <v>8.3</v>
      </c>
      <c r="O54" s="12">
        <v>3691.11</v>
      </c>
    </row>
    <row r="55" ht="15.75" customHeight="1">
      <c r="A55" s="12" t="s">
        <v>137</v>
      </c>
      <c r="B55" s="12" t="s">
        <v>71</v>
      </c>
      <c r="C55" s="12" t="s">
        <v>39</v>
      </c>
      <c r="D55" s="12" t="s">
        <v>40</v>
      </c>
      <c r="E55" s="12" t="s">
        <v>36</v>
      </c>
      <c r="F55" s="12">
        <v>410.3</v>
      </c>
      <c r="G55" s="12">
        <v>307.0</v>
      </c>
      <c r="H55" s="12">
        <v>41.6</v>
      </c>
      <c r="I55" s="12">
        <v>9.2</v>
      </c>
      <c r="J55" s="12">
        <v>3172.0</v>
      </c>
      <c r="K55" s="12">
        <v>157.3</v>
      </c>
      <c r="L55" s="12" t="s">
        <v>30</v>
      </c>
      <c r="M55" s="12" t="s">
        <v>138</v>
      </c>
      <c r="N55" s="12">
        <v>8.0</v>
      </c>
      <c r="O55" s="12">
        <v>3877.25</v>
      </c>
    </row>
    <row r="56" ht="15.75" customHeight="1">
      <c r="A56" s="12" t="s">
        <v>139</v>
      </c>
      <c r="B56" s="12" t="s">
        <v>26</v>
      </c>
      <c r="C56" s="12" t="s">
        <v>34</v>
      </c>
      <c r="D56" s="12" t="s">
        <v>40</v>
      </c>
      <c r="E56" s="12" t="s">
        <v>36</v>
      </c>
      <c r="F56" s="12">
        <v>613.1</v>
      </c>
      <c r="G56" s="12">
        <v>429.9</v>
      </c>
      <c r="H56" s="12">
        <v>131.0</v>
      </c>
      <c r="I56" s="12">
        <v>17.6</v>
      </c>
      <c r="J56" s="12">
        <v>3074.0</v>
      </c>
      <c r="K56" s="12">
        <v>143.6</v>
      </c>
      <c r="L56" s="12" t="s">
        <v>30</v>
      </c>
      <c r="M56" s="12" t="s">
        <v>44</v>
      </c>
      <c r="N56" s="12">
        <v>4.5</v>
      </c>
      <c r="O56" s="12">
        <v>3903.47</v>
      </c>
    </row>
    <row r="57" ht="15.75" customHeight="1">
      <c r="A57" s="12" t="s">
        <v>140</v>
      </c>
      <c r="B57" s="12" t="s">
        <v>26</v>
      </c>
      <c r="C57" s="12" t="s">
        <v>27</v>
      </c>
      <c r="D57" s="12" t="s">
        <v>35</v>
      </c>
      <c r="E57" s="12" t="s">
        <v>41</v>
      </c>
      <c r="F57" s="12">
        <v>61.2</v>
      </c>
      <c r="G57" s="12">
        <v>82.8</v>
      </c>
      <c r="H57" s="12">
        <v>138.8</v>
      </c>
      <c r="I57" s="12">
        <v>69.4</v>
      </c>
      <c r="J57" s="12">
        <v>1379.0</v>
      </c>
      <c r="K57" s="12">
        <v>178.2</v>
      </c>
      <c r="L57" s="12" t="s">
        <v>30</v>
      </c>
      <c r="M57" s="12" t="s">
        <v>72</v>
      </c>
      <c r="N57" s="12">
        <v>50.4</v>
      </c>
      <c r="O57" s="12">
        <v>5942.92</v>
      </c>
    </row>
    <row r="58" ht="15.75" customHeight="1">
      <c r="A58" s="12" t="s">
        <v>141</v>
      </c>
      <c r="B58" s="12" t="s">
        <v>71</v>
      </c>
      <c r="C58" s="12" t="s">
        <v>27</v>
      </c>
      <c r="D58" s="12" t="s">
        <v>35</v>
      </c>
      <c r="E58" s="12" t="s">
        <v>29</v>
      </c>
      <c r="F58" s="12">
        <v>603.3</v>
      </c>
      <c r="G58" s="12">
        <v>481.8</v>
      </c>
      <c r="H58" s="12">
        <v>302.6</v>
      </c>
      <c r="I58" s="12">
        <v>33.4</v>
      </c>
      <c r="J58" s="12">
        <v>1953.0</v>
      </c>
      <c r="K58" s="12">
        <v>184.6</v>
      </c>
      <c r="L58" s="12" t="s">
        <v>30</v>
      </c>
      <c r="M58" s="12" t="s">
        <v>142</v>
      </c>
      <c r="N58" s="12">
        <v>14.2</v>
      </c>
      <c r="O58" s="12">
        <v>3872.29</v>
      </c>
    </row>
    <row r="59" ht="15.75" customHeight="1">
      <c r="A59" s="12" t="s">
        <v>143</v>
      </c>
      <c r="B59" s="12" t="s">
        <v>26</v>
      </c>
      <c r="C59" s="12" t="s">
        <v>27</v>
      </c>
      <c r="D59" s="12" t="s">
        <v>35</v>
      </c>
      <c r="E59" s="12" t="s">
        <v>41</v>
      </c>
      <c r="F59" s="12">
        <v>270.4</v>
      </c>
      <c r="G59" s="12">
        <v>296.6</v>
      </c>
      <c r="H59" s="12">
        <v>146.2</v>
      </c>
      <c r="I59" s="12">
        <v>35.1</v>
      </c>
      <c r="J59" s="12">
        <v>2350.0</v>
      </c>
      <c r="K59" s="12">
        <v>188.8</v>
      </c>
      <c r="L59" s="12" t="s">
        <v>30</v>
      </c>
      <c r="M59" s="12" t="s">
        <v>144</v>
      </c>
      <c r="N59" s="12">
        <v>14.9</v>
      </c>
      <c r="O59" s="12">
        <v>5266.06</v>
      </c>
    </row>
    <row r="60" ht="15.75" customHeight="1">
      <c r="A60" s="12" t="s">
        <v>145</v>
      </c>
      <c r="B60" s="12" t="s">
        <v>26</v>
      </c>
      <c r="C60" s="12" t="s">
        <v>27</v>
      </c>
      <c r="D60" s="12" t="s">
        <v>40</v>
      </c>
      <c r="E60" s="12" t="s">
        <v>29</v>
      </c>
      <c r="F60" s="12">
        <v>324.8</v>
      </c>
      <c r="G60" s="12">
        <v>374.0</v>
      </c>
      <c r="H60" s="12">
        <v>104.3</v>
      </c>
      <c r="I60" s="12">
        <v>24.3</v>
      </c>
      <c r="J60" s="12">
        <v>2535.0</v>
      </c>
      <c r="K60" s="12">
        <v>177.6</v>
      </c>
      <c r="L60" s="12" t="s">
        <v>30</v>
      </c>
      <c r="M60" s="12" t="s">
        <v>146</v>
      </c>
      <c r="N60" s="12">
        <v>2.3</v>
      </c>
      <c r="O60" s="12">
        <v>3831.95</v>
      </c>
    </row>
    <row r="61" ht="15.75" customHeight="1">
      <c r="A61" s="12" t="s">
        <v>147</v>
      </c>
      <c r="B61" s="12" t="s">
        <v>26</v>
      </c>
      <c r="C61" s="12" t="s">
        <v>39</v>
      </c>
      <c r="D61" s="12" t="s">
        <v>35</v>
      </c>
      <c r="E61" s="12" t="s">
        <v>41</v>
      </c>
      <c r="F61" s="12">
        <v>121.4</v>
      </c>
      <c r="G61" s="12">
        <v>150.9</v>
      </c>
      <c r="H61" s="12">
        <v>20.3</v>
      </c>
      <c r="I61" s="12">
        <v>14.3</v>
      </c>
      <c r="J61" s="12">
        <v>2862.0</v>
      </c>
      <c r="K61" s="12">
        <v>155.8</v>
      </c>
      <c r="L61" s="12" t="s">
        <v>30</v>
      </c>
      <c r="M61" s="12" t="s">
        <v>148</v>
      </c>
      <c r="N61" s="12">
        <v>11.9</v>
      </c>
      <c r="O61" s="12">
        <v>4120.51</v>
      </c>
    </row>
    <row r="62" ht="15.75" customHeight="1">
      <c r="A62" s="12" t="s">
        <v>149</v>
      </c>
      <c r="B62" s="12" t="s">
        <v>26</v>
      </c>
      <c r="C62" s="12" t="s">
        <v>27</v>
      </c>
      <c r="D62" s="12" t="s">
        <v>40</v>
      </c>
      <c r="E62" s="12" t="s">
        <v>36</v>
      </c>
      <c r="F62" s="12">
        <v>443.6</v>
      </c>
      <c r="G62" s="12">
        <v>368.6</v>
      </c>
      <c r="H62" s="12">
        <v>83.2</v>
      </c>
      <c r="I62" s="12">
        <v>15.8</v>
      </c>
      <c r="J62" s="12">
        <v>2825.0</v>
      </c>
      <c r="K62" s="12">
        <v>149.9</v>
      </c>
      <c r="L62" s="12" t="s">
        <v>30</v>
      </c>
      <c r="M62" s="12" t="s">
        <v>150</v>
      </c>
      <c r="N62" s="12">
        <v>11.2</v>
      </c>
      <c r="O62" s="12">
        <v>5120.07</v>
      </c>
    </row>
    <row r="63" ht="15.75" customHeight="1">
      <c r="A63" s="12" t="s">
        <v>151</v>
      </c>
      <c r="B63" s="12" t="s">
        <v>71</v>
      </c>
      <c r="C63" s="12" t="s">
        <v>39</v>
      </c>
      <c r="D63" s="12" t="s">
        <v>35</v>
      </c>
      <c r="E63" s="12" t="s">
        <v>29</v>
      </c>
      <c r="F63" s="12">
        <v>160.2</v>
      </c>
      <c r="G63" s="12">
        <v>125.5</v>
      </c>
      <c r="H63" s="12">
        <v>340.4</v>
      </c>
      <c r="I63" s="12">
        <v>68.0</v>
      </c>
      <c r="J63" s="12">
        <v>950.0</v>
      </c>
      <c r="K63" s="12">
        <v>193.9</v>
      </c>
      <c r="L63" s="12" t="s">
        <v>77</v>
      </c>
      <c r="M63" s="12" t="s">
        <v>138</v>
      </c>
      <c r="N63" s="12">
        <v>49.3</v>
      </c>
      <c r="O63" s="12">
        <v>5038.64</v>
      </c>
    </row>
    <row r="64" ht="15.75" customHeight="1">
      <c r="A64" s="12" t="s">
        <v>152</v>
      </c>
      <c r="B64" s="12" t="s">
        <v>33</v>
      </c>
      <c r="C64" s="12" t="s">
        <v>34</v>
      </c>
      <c r="D64" s="12" t="s">
        <v>40</v>
      </c>
      <c r="E64" s="12" t="s">
        <v>29</v>
      </c>
      <c r="F64" s="12">
        <v>212.9</v>
      </c>
      <c r="G64" s="12">
        <v>158.7</v>
      </c>
      <c r="H64" s="12">
        <v>58.3</v>
      </c>
      <c r="I64" s="12">
        <v>21.5</v>
      </c>
      <c r="J64" s="12">
        <v>3449.0</v>
      </c>
      <c r="K64" s="12">
        <v>186.8</v>
      </c>
      <c r="L64" s="12" t="s">
        <v>30</v>
      </c>
      <c r="M64" s="12" t="s">
        <v>153</v>
      </c>
      <c r="N64" s="12">
        <v>9.8</v>
      </c>
      <c r="O64" s="12">
        <v>3679.52</v>
      </c>
    </row>
    <row r="65" ht="15.75" customHeight="1">
      <c r="A65" s="12" t="s">
        <v>154</v>
      </c>
      <c r="B65" s="12" t="s">
        <v>33</v>
      </c>
      <c r="C65" s="12" t="s">
        <v>39</v>
      </c>
      <c r="D65" s="12" t="s">
        <v>40</v>
      </c>
      <c r="E65" s="12" t="s">
        <v>41</v>
      </c>
      <c r="F65" s="12">
        <v>200.0</v>
      </c>
      <c r="G65" s="12">
        <v>166.1</v>
      </c>
      <c r="H65" s="12">
        <v>107.7</v>
      </c>
      <c r="I65" s="12">
        <v>35.0</v>
      </c>
      <c r="J65" s="12">
        <v>3049.0</v>
      </c>
      <c r="K65" s="12">
        <v>215.6</v>
      </c>
      <c r="L65" s="12" t="s">
        <v>30</v>
      </c>
      <c r="M65" s="12" t="s">
        <v>155</v>
      </c>
      <c r="N65" s="12">
        <v>4.9</v>
      </c>
      <c r="O65" s="12">
        <v>3834.86</v>
      </c>
    </row>
    <row r="66" ht="15.75" customHeight="1">
      <c r="A66" s="12" t="s">
        <v>156</v>
      </c>
      <c r="B66" s="12" t="s">
        <v>33</v>
      </c>
      <c r="C66" s="12" t="s">
        <v>39</v>
      </c>
      <c r="D66" s="12" t="s">
        <v>28</v>
      </c>
      <c r="E66" s="12" t="s">
        <v>41</v>
      </c>
      <c r="F66" s="12">
        <v>88.6</v>
      </c>
      <c r="G66" s="12">
        <v>82.5</v>
      </c>
      <c r="H66" s="12">
        <v>375.3</v>
      </c>
      <c r="I66" s="12">
        <v>80.9</v>
      </c>
      <c r="J66" s="12">
        <v>801.0</v>
      </c>
      <c r="K66" s="12">
        <v>155.0</v>
      </c>
      <c r="L66" s="12" t="s">
        <v>30</v>
      </c>
      <c r="M66" s="12" t="s">
        <v>157</v>
      </c>
      <c r="N66" s="12">
        <v>79.5</v>
      </c>
      <c r="O66" s="12">
        <v>4375.58</v>
      </c>
    </row>
    <row r="67" ht="15.75" customHeight="1">
      <c r="A67" s="12" t="s">
        <v>158</v>
      </c>
      <c r="B67" s="12" t="s">
        <v>26</v>
      </c>
      <c r="C67" s="12" t="s">
        <v>39</v>
      </c>
      <c r="D67" s="12" t="s">
        <v>28</v>
      </c>
      <c r="E67" s="12" t="s">
        <v>36</v>
      </c>
      <c r="F67" s="12">
        <v>197.1</v>
      </c>
      <c r="G67" s="12">
        <v>230.2</v>
      </c>
      <c r="H67" s="12">
        <v>862.6</v>
      </c>
      <c r="I67" s="12">
        <v>81.4</v>
      </c>
      <c r="J67" s="12">
        <v>817.0</v>
      </c>
      <c r="K67" s="12">
        <v>164.9</v>
      </c>
      <c r="L67" s="12" t="s">
        <v>77</v>
      </c>
      <c r="M67" s="12" t="s">
        <v>159</v>
      </c>
      <c r="N67" s="12">
        <v>59.1</v>
      </c>
      <c r="O67" s="12">
        <v>4650.57</v>
      </c>
    </row>
    <row r="68" ht="15.75" customHeight="1">
      <c r="A68" s="12" t="s">
        <v>160</v>
      </c>
      <c r="B68" s="12" t="s">
        <v>33</v>
      </c>
      <c r="C68" s="12" t="s">
        <v>27</v>
      </c>
      <c r="D68" s="12" t="s">
        <v>28</v>
      </c>
      <c r="E68" s="12" t="s">
        <v>41</v>
      </c>
      <c r="F68" s="12">
        <v>441.7</v>
      </c>
      <c r="G68" s="12">
        <v>514.3</v>
      </c>
      <c r="H68" s="12">
        <v>51.3</v>
      </c>
      <c r="I68" s="12">
        <v>10.4</v>
      </c>
      <c r="J68" s="12">
        <v>2325.0</v>
      </c>
      <c r="K68" s="12">
        <v>173.2</v>
      </c>
      <c r="L68" s="12" t="s">
        <v>30</v>
      </c>
      <c r="M68" s="12" t="s">
        <v>161</v>
      </c>
      <c r="N68" s="12">
        <v>14.0</v>
      </c>
      <c r="O68" s="12">
        <v>3547.6</v>
      </c>
    </row>
    <row r="69" ht="15.75" customHeight="1">
      <c r="A69" s="12" t="s">
        <v>162</v>
      </c>
      <c r="B69" s="12" t="s">
        <v>33</v>
      </c>
      <c r="C69" s="12" t="s">
        <v>39</v>
      </c>
      <c r="D69" s="12" t="s">
        <v>35</v>
      </c>
      <c r="E69" s="12" t="s">
        <v>36</v>
      </c>
      <c r="F69" s="12">
        <v>541.8</v>
      </c>
      <c r="G69" s="12">
        <v>444.8</v>
      </c>
      <c r="H69" s="12">
        <v>160.0</v>
      </c>
      <c r="I69" s="12">
        <v>22.8</v>
      </c>
      <c r="J69" s="12">
        <v>3355.0</v>
      </c>
      <c r="K69" s="12">
        <v>203.2</v>
      </c>
      <c r="L69" s="12" t="s">
        <v>30</v>
      </c>
      <c r="M69" s="12" t="s">
        <v>110</v>
      </c>
      <c r="N69" s="12">
        <v>13.2</v>
      </c>
      <c r="O69" s="12">
        <v>3449.13</v>
      </c>
    </row>
    <row r="70" ht="15.75" customHeight="1">
      <c r="A70" s="12" t="s">
        <v>163</v>
      </c>
      <c r="B70" s="12" t="s">
        <v>71</v>
      </c>
      <c r="C70" s="12" t="s">
        <v>27</v>
      </c>
      <c r="D70" s="12" t="s">
        <v>40</v>
      </c>
      <c r="E70" s="12" t="s">
        <v>29</v>
      </c>
      <c r="F70" s="12">
        <v>424.8</v>
      </c>
      <c r="G70" s="12">
        <v>437.9</v>
      </c>
      <c r="H70" s="12">
        <v>283.2</v>
      </c>
      <c r="I70" s="12">
        <v>40.0</v>
      </c>
      <c r="J70" s="12">
        <v>2067.0</v>
      </c>
      <c r="K70" s="12">
        <v>167.6</v>
      </c>
      <c r="L70" s="12" t="s">
        <v>30</v>
      </c>
      <c r="M70" s="12" t="s">
        <v>81</v>
      </c>
      <c r="N70" s="12">
        <v>7.3</v>
      </c>
      <c r="O70" s="12">
        <v>3964.26</v>
      </c>
    </row>
    <row r="71" ht="15.75" customHeight="1">
      <c r="A71" s="12" t="s">
        <v>164</v>
      </c>
      <c r="B71" s="12" t="s">
        <v>71</v>
      </c>
      <c r="C71" s="12" t="s">
        <v>39</v>
      </c>
      <c r="D71" s="12" t="s">
        <v>40</v>
      </c>
      <c r="E71" s="12" t="s">
        <v>36</v>
      </c>
      <c r="F71" s="12">
        <v>840.4</v>
      </c>
      <c r="G71" s="12">
        <v>718.2</v>
      </c>
      <c r="H71" s="12">
        <v>189.5</v>
      </c>
      <c r="I71" s="12">
        <v>18.4</v>
      </c>
      <c r="J71" s="12">
        <v>2539.0</v>
      </c>
      <c r="K71" s="12">
        <v>177.8</v>
      </c>
      <c r="L71" s="12" t="s">
        <v>30</v>
      </c>
      <c r="M71" s="12" t="s">
        <v>93</v>
      </c>
      <c r="N71" s="12">
        <v>12.8</v>
      </c>
      <c r="O71" s="12">
        <v>4567.34</v>
      </c>
    </row>
    <row r="72" ht="15.75" customHeight="1">
      <c r="A72" s="12" t="s">
        <v>165</v>
      </c>
      <c r="B72" s="12" t="s">
        <v>71</v>
      </c>
      <c r="C72" s="12" t="s">
        <v>34</v>
      </c>
      <c r="D72" s="12" t="s">
        <v>35</v>
      </c>
      <c r="E72" s="12" t="s">
        <v>36</v>
      </c>
      <c r="F72" s="12">
        <v>215.4</v>
      </c>
      <c r="G72" s="12">
        <v>146.4</v>
      </c>
      <c r="H72" s="12">
        <v>573.6</v>
      </c>
      <c r="I72" s="12">
        <v>72.7</v>
      </c>
      <c r="J72" s="12">
        <v>1325.0</v>
      </c>
      <c r="K72" s="12">
        <v>212.8</v>
      </c>
      <c r="L72" s="12" t="s">
        <v>30</v>
      </c>
      <c r="M72" s="12" t="s">
        <v>166</v>
      </c>
      <c r="N72" s="12">
        <v>82.2</v>
      </c>
      <c r="O72" s="12">
        <v>4315.1</v>
      </c>
    </row>
    <row r="73" ht="15.75" customHeight="1">
      <c r="A73" s="12" t="s">
        <v>167</v>
      </c>
      <c r="B73" s="12" t="s">
        <v>71</v>
      </c>
      <c r="C73" s="12" t="s">
        <v>34</v>
      </c>
      <c r="D73" s="12" t="s">
        <v>28</v>
      </c>
      <c r="E73" s="12" t="s">
        <v>36</v>
      </c>
      <c r="F73" s="12">
        <v>467.8</v>
      </c>
      <c r="G73" s="12">
        <v>599.4</v>
      </c>
      <c r="H73" s="12">
        <v>94.5</v>
      </c>
      <c r="I73" s="12">
        <v>16.8</v>
      </c>
      <c r="J73" s="12">
        <v>2970.0</v>
      </c>
      <c r="K73" s="12">
        <v>208.2</v>
      </c>
      <c r="L73" s="12" t="s">
        <v>30</v>
      </c>
      <c r="M73" s="12" t="s">
        <v>93</v>
      </c>
      <c r="N73" s="12">
        <v>10.4</v>
      </c>
      <c r="O73" s="12">
        <v>4453.45</v>
      </c>
    </row>
    <row r="74" ht="15.75" customHeight="1">
      <c r="A74" s="12" t="s">
        <v>168</v>
      </c>
      <c r="B74" s="12" t="s">
        <v>71</v>
      </c>
      <c r="C74" s="12" t="s">
        <v>34</v>
      </c>
      <c r="D74" s="12" t="s">
        <v>35</v>
      </c>
      <c r="E74" s="12" t="s">
        <v>41</v>
      </c>
      <c r="F74" s="12">
        <v>105.3</v>
      </c>
      <c r="G74" s="12">
        <v>99.7</v>
      </c>
      <c r="H74" s="12">
        <v>298.1</v>
      </c>
      <c r="I74" s="12">
        <v>73.9</v>
      </c>
      <c r="J74" s="12">
        <v>1398.0</v>
      </c>
      <c r="K74" s="12">
        <v>147.9</v>
      </c>
      <c r="L74" s="12" t="s">
        <v>77</v>
      </c>
      <c r="M74" s="12" t="s">
        <v>169</v>
      </c>
      <c r="N74" s="12">
        <v>85.3</v>
      </c>
      <c r="O74" s="12">
        <v>5252.1</v>
      </c>
    </row>
    <row r="75" ht="15.75" customHeight="1">
      <c r="A75" s="12" t="s">
        <v>170</v>
      </c>
      <c r="B75" s="12" t="s">
        <v>71</v>
      </c>
      <c r="C75" s="12" t="s">
        <v>27</v>
      </c>
      <c r="D75" s="12" t="s">
        <v>35</v>
      </c>
      <c r="E75" s="12" t="s">
        <v>41</v>
      </c>
      <c r="F75" s="12">
        <v>217.3</v>
      </c>
      <c r="G75" s="12">
        <v>228.8</v>
      </c>
      <c r="H75" s="12">
        <v>383.0</v>
      </c>
      <c r="I75" s="12">
        <v>63.8</v>
      </c>
      <c r="J75" s="12">
        <v>887.0</v>
      </c>
      <c r="K75" s="12">
        <v>203.4</v>
      </c>
      <c r="L75" s="12" t="s">
        <v>30</v>
      </c>
      <c r="M75" s="12" t="s">
        <v>171</v>
      </c>
      <c r="N75" s="12">
        <v>52.5</v>
      </c>
      <c r="O75" s="12">
        <v>4092.28</v>
      </c>
    </row>
    <row r="76" ht="15.75" customHeight="1">
      <c r="A76" s="12" t="s">
        <v>172</v>
      </c>
      <c r="B76" s="12" t="s">
        <v>26</v>
      </c>
      <c r="C76" s="12" t="s">
        <v>39</v>
      </c>
      <c r="D76" s="12" t="s">
        <v>35</v>
      </c>
      <c r="E76" s="12" t="s">
        <v>29</v>
      </c>
      <c r="F76" s="12">
        <v>346.3</v>
      </c>
      <c r="G76" s="12">
        <v>278.5</v>
      </c>
      <c r="H76" s="12">
        <v>38.5</v>
      </c>
      <c r="I76" s="12">
        <v>10.0</v>
      </c>
      <c r="J76" s="12">
        <v>2257.0</v>
      </c>
      <c r="K76" s="12">
        <v>140.8</v>
      </c>
      <c r="L76" s="12" t="s">
        <v>30</v>
      </c>
      <c r="M76" s="12" t="s">
        <v>146</v>
      </c>
      <c r="N76" s="12">
        <v>6.9</v>
      </c>
      <c r="O76" s="12">
        <v>5259.65</v>
      </c>
    </row>
    <row r="77" ht="15.75" customHeight="1">
      <c r="A77" s="12" t="s">
        <v>173</v>
      </c>
      <c r="B77" s="12" t="s">
        <v>26</v>
      </c>
      <c r="C77" s="12" t="s">
        <v>34</v>
      </c>
      <c r="D77" s="12" t="s">
        <v>28</v>
      </c>
      <c r="E77" s="12" t="s">
        <v>36</v>
      </c>
      <c r="F77" s="12">
        <v>456.7</v>
      </c>
      <c r="G77" s="12">
        <v>365.4</v>
      </c>
      <c r="H77" s="12">
        <v>157.1</v>
      </c>
      <c r="I77" s="12">
        <v>25.6</v>
      </c>
      <c r="J77" s="12">
        <v>2564.0</v>
      </c>
      <c r="K77" s="12">
        <v>207.6</v>
      </c>
      <c r="L77" s="12" t="s">
        <v>30</v>
      </c>
      <c r="M77" s="12" t="s">
        <v>174</v>
      </c>
      <c r="N77" s="12">
        <v>9.6</v>
      </c>
      <c r="O77" s="12">
        <v>4234.62</v>
      </c>
    </row>
    <row r="78" ht="15.75" customHeight="1">
      <c r="A78" s="12" t="s">
        <v>175</v>
      </c>
      <c r="B78" s="12" t="s">
        <v>71</v>
      </c>
      <c r="C78" s="12" t="s">
        <v>27</v>
      </c>
      <c r="D78" s="12" t="s">
        <v>28</v>
      </c>
      <c r="E78" s="12" t="s">
        <v>41</v>
      </c>
      <c r="F78" s="12">
        <v>312.3</v>
      </c>
      <c r="G78" s="12">
        <v>351.8</v>
      </c>
      <c r="H78" s="12">
        <v>205.6</v>
      </c>
      <c r="I78" s="12">
        <v>39.7</v>
      </c>
      <c r="J78" s="12">
        <v>3560.0</v>
      </c>
      <c r="K78" s="12">
        <v>162.0</v>
      </c>
      <c r="L78" s="12" t="s">
        <v>30</v>
      </c>
      <c r="M78" s="12" t="s">
        <v>176</v>
      </c>
      <c r="N78" s="12">
        <v>4.4</v>
      </c>
      <c r="O78" s="12">
        <v>3940.94</v>
      </c>
    </row>
    <row r="79" ht="15.75" customHeight="1">
      <c r="A79" s="12" t="s">
        <v>177</v>
      </c>
      <c r="B79" s="12" t="s">
        <v>26</v>
      </c>
      <c r="C79" s="12" t="s">
        <v>27</v>
      </c>
      <c r="D79" s="12" t="s">
        <v>35</v>
      </c>
      <c r="E79" s="12" t="s">
        <v>29</v>
      </c>
      <c r="F79" s="12">
        <v>516.0</v>
      </c>
      <c r="G79" s="12">
        <v>455.0</v>
      </c>
      <c r="H79" s="12">
        <v>91.1</v>
      </c>
      <c r="I79" s="12">
        <v>15.0</v>
      </c>
      <c r="J79" s="12">
        <v>2893.0</v>
      </c>
      <c r="K79" s="12">
        <v>190.9</v>
      </c>
      <c r="L79" s="12" t="s">
        <v>30</v>
      </c>
      <c r="M79" s="12" t="s">
        <v>178</v>
      </c>
      <c r="N79" s="12">
        <v>12.0</v>
      </c>
      <c r="O79" s="12">
        <v>5012.77</v>
      </c>
    </row>
    <row r="80" ht="15.75" customHeight="1">
      <c r="A80" s="12" t="s">
        <v>179</v>
      </c>
      <c r="B80" s="12" t="s">
        <v>26</v>
      </c>
      <c r="C80" s="12" t="s">
        <v>34</v>
      </c>
      <c r="D80" s="12" t="s">
        <v>35</v>
      </c>
      <c r="E80" s="12" t="s">
        <v>36</v>
      </c>
      <c r="F80" s="12">
        <v>531.3</v>
      </c>
      <c r="G80" s="12">
        <v>565.1</v>
      </c>
      <c r="H80" s="12">
        <v>202.5</v>
      </c>
      <c r="I80" s="12">
        <v>27.6</v>
      </c>
      <c r="J80" s="12">
        <v>2593.0</v>
      </c>
      <c r="K80" s="12">
        <v>198.6</v>
      </c>
      <c r="L80" s="12" t="s">
        <v>30</v>
      </c>
      <c r="M80" s="12" t="s">
        <v>180</v>
      </c>
      <c r="N80" s="12">
        <v>4.6</v>
      </c>
      <c r="O80" s="12">
        <v>3967.63</v>
      </c>
    </row>
    <row r="81" ht="15.75" customHeight="1">
      <c r="A81" s="12" t="s">
        <v>181</v>
      </c>
      <c r="B81" s="12" t="s">
        <v>71</v>
      </c>
      <c r="C81" s="12" t="s">
        <v>34</v>
      </c>
      <c r="D81" s="12" t="s">
        <v>40</v>
      </c>
      <c r="E81" s="12" t="s">
        <v>36</v>
      </c>
      <c r="F81" s="12">
        <v>360.3</v>
      </c>
      <c r="G81" s="12">
        <v>294.7</v>
      </c>
      <c r="H81" s="12">
        <v>200.0</v>
      </c>
      <c r="I81" s="12">
        <v>35.7</v>
      </c>
      <c r="J81" s="12">
        <v>2703.0</v>
      </c>
      <c r="K81" s="12">
        <v>153.2</v>
      </c>
      <c r="L81" s="12" t="s">
        <v>30</v>
      </c>
      <c r="M81" s="12" t="s">
        <v>182</v>
      </c>
      <c r="N81" s="12">
        <v>5.5</v>
      </c>
      <c r="O81" s="12">
        <v>4458.73</v>
      </c>
    </row>
    <row r="82" ht="15.75" customHeight="1">
      <c r="A82" s="12" t="s">
        <v>183</v>
      </c>
      <c r="B82" s="12" t="s">
        <v>71</v>
      </c>
      <c r="C82" s="12" t="s">
        <v>34</v>
      </c>
      <c r="D82" s="12" t="s">
        <v>40</v>
      </c>
      <c r="E82" s="12" t="s">
        <v>36</v>
      </c>
      <c r="F82" s="12">
        <v>234.0</v>
      </c>
      <c r="G82" s="12">
        <v>321.5</v>
      </c>
      <c r="H82" s="12">
        <v>378.6</v>
      </c>
      <c r="I82" s="12">
        <v>61.8</v>
      </c>
      <c r="J82" s="12">
        <v>1205.0</v>
      </c>
      <c r="K82" s="12">
        <v>204.4</v>
      </c>
      <c r="L82" s="12" t="s">
        <v>30</v>
      </c>
      <c r="M82" s="12" t="s">
        <v>184</v>
      </c>
      <c r="N82" s="12">
        <v>70.6</v>
      </c>
      <c r="O82" s="12">
        <v>4645.72</v>
      </c>
    </row>
    <row r="83" ht="15.75" customHeight="1">
      <c r="A83" s="12" t="s">
        <v>185</v>
      </c>
      <c r="B83" s="12" t="s">
        <v>33</v>
      </c>
      <c r="C83" s="12" t="s">
        <v>39</v>
      </c>
      <c r="D83" s="12" t="s">
        <v>35</v>
      </c>
      <c r="E83" s="12" t="s">
        <v>36</v>
      </c>
      <c r="F83" s="12">
        <v>577.4</v>
      </c>
      <c r="G83" s="12">
        <v>780.8</v>
      </c>
      <c r="H83" s="12">
        <v>230.2</v>
      </c>
      <c r="I83" s="12">
        <v>28.5</v>
      </c>
      <c r="J83" s="12">
        <v>3280.0</v>
      </c>
      <c r="K83" s="12">
        <v>148.7</v>
      </c>
      <c r="L83" s="12" t="s">
        <v>30</v>
      </c>
      <c r="M83" s="12" t="s">
        <v>186</v>
      </c>
      <c r="N83" s="12">
        <v>8.8</v>
      </c>
      <c r="O83" s="12">
        <v>3151.29</v>
      </c>
    </row>
    <row r="84" ht="15.75" customHeight="1">
      <c r="A84" s="12" t="s">
        <v>187</v>
      </c>
      <c r="B84" s="12" t="s">
        <v>26</v>
      </c>
      <c r="C84" s="12" t="s">
        <v>34</v>
      </c>
      <c r="D84" s="12" t="s">
        <v>40</v>
      </c>
      <c r="E84" s="12" t="s">
        <v>29</v>
      </c>
      <c r="F84" s="12">
        <v>139.4</v>
      </c>
      <c r="G84" s="12">
        <v>88.7</v>
      </c>
      <c r="H84" s="12">
        <v>648.2</v>
      </c>
      <c r="I84" s="12">
        <v>82.3</v>
      </c>
      <c r="J84" s="12">
        <v>1045.0</v>
      </c>
      <c r="K84" s="12">
        <v>143.0</v>
      </c>
      <c r="L84" s="12" t="s">
        <v>77</v>
      </c>
      <c r="M84" s="12" t="s">
        <v>124</v>
      </c>
      <c r="N84" s="12">
        <v>48.1</v>
      </c>
      <c r="O84" s="12">
        <v>6214.33</v>
      </c>
    </row>
    <row r="85" ht="15.75" customHeight="1">
      <c r="A85" s="12" t="s">
        <v>188</v>
      </c>
      <c r="B85" s="12" t="s">
        <v>33</v>
      </c>
      <c r="C85" s="12" t="s">
        <v>27</v>
      </c>
      <c r="D85" s="12" t="s">
        <v>35</v>
      </c>
      <c r="E85" s="12" t="s">
        <v>36</v>
      </c>
      <c r="F85" s="12">
        <v>626.0</v>
      </c>
      <c r="G85" s="12">
        <v>669.7</v>
      </c>
      <c r="H85" s="12">
        <v>386.9</v>
      </c>
      <c r="I85" s="12">
        <v>38.2</v>
      </c>
      <c r="J85" s="12">
        <v>2772.0</v>
      </c>
      <c r="K85" s="12">
        <v>198.1</v>
      </c>
      <c r="L85" s="12" t="s">
        <v>30</v>
      </c>
      <c r="M85" s="12" t="s">
        <v>189</v>
      </c>
      <c r="N85" s="12">
        <v>10.4</v>
      </c>
      <c r="O85" s="12">
        <v>4009.33</v>
      </c>
    </row>
    <row r="86" ht="15.75" customHeight="1">
      <c r="A86" s="12" t="s">
        <v>190</v>
      </c>
      <c r="B86" s="12" t="s">
        <v>33</v>
      </c>
      <c r="C86" s="12" t="s">
        <v>39</v>
      </c>
      <c r="D86" s="12" t="s">
        <v>35</v>
      </c>
      <c r="E86" s="12" t="s">
        <v>41</v>
      </c>
      <c r="F86" s="12">
        <v>381.7</v>
      </c>
      <c r="G86" s="12">
        <v>301.1</v>
      </c>
      <c r="H86" s="12">
        <v>157.4</v>
      </c>
      <c r="I86" s="12">
        <v>29.2</v>
      </c>
      <c r="J86" s="12">
        <v>2600.0</v>
      </c>
      <c r="K86" s="12">
        <v>169.0</v>
      </c>
      <c r="L86" s="12" t="s">
        <v>30</v>
      </c>
      <c r="M86" s="12" t="s">
        <v>191</v>
      </c>
      <c r="N86" s="12">
        <v>3.3</v>
      </c>
      <c r="O86" s="12">
        <v>4025.09</v>
      </c>
    </row>
    <row r="87" ht="15.75" customHeight="1">
      <c r="A87" s="12" t="s">
        <v>192</v>
      </c>
      <c r="B87" s="12" t="s">
        <v>26</v>
      </c>
      <c r="C87" s="12" t="s">
        <v>34</v>
      </c>
      <c r="D87" s="12" t="s">
        <v>40</v>
      </c>
      <c r="E87" s="12" t="s">
        <v>36</v>
      </c>
      <c r="F87" s="12">
        <v>439.3</v>
      </c>
      <c r="G87" s="12">
        <v>496.5</v>
      </c>
      <c r="H87" s="12">
        <v>45.0</v>
      </c>
      <c r="I87" s="12">
        <v>9.3</v>
      </c>
      <c r="J87" s="12">
        <v>2618.0</v>
      </c>
      <c r="K87" s="12">
        <v>191.3</v>
      </c>
      <c r="L87" s="12" t="s">
        <v>30</v>
      </c>
      <c r="M87" s="12" t="s">
        <v>193</v>
      </c>
      <c r="N87" s="12">
        <v>12.7</v>
      </c>
      <c r="O87" s="12">
        <v>4981.48</v>
      </c>
    </row>
    <row r="88" ht="15.75" customHeight="1">
      <c r="A88" s="12" t="s">
        <v>194</v>
      </c>
      <c r="B88" s="12" t="s">
        <v>33</v>
      </c>
      <c r="C88" s="12" t="s">
        <v>39</v>
      </c>
      <c r="D88" s="12" t="s">
        <v>28</v>
      </c>
      <c r="E88" s="12" t="s">
        <v>36</v>
      </c>
      <c r="F88" s="12">
        <v>743.5</v>
      </c>
      <c r="G88" s="12">
        <v>929.7</v>
      </c>
      <c r="H88" s="12">
        <v>383.0</v>
      </c>
      <c r="I88" s="12">
        <v>34.0</v>
      </c>
      <c r="J88" s="12">
        <v>2855.0</v>
      </c>
      <c r="K88" s="12">
        <v>158.6</v>
      </c>
      <c r="L88" s="12" t="s">
        <v>30</v>
      </c>
      <c r="M88" s="12" t="s">
        <v>142</v>
      </c>
      <c r="N88" s="12">
        <v>8.3</v>
      </c>
      <c r="O88" s="12">
        <v>3835.69</v>
      </c>
    </row>
    <row r="89" ht="15.75" customHeight="1">
      <c r="A89" s="12" t="s">
        <v>195</v>
      </c>
      <c r="B89" s="12" t="s">
        <v>33</v>
      </c>
      <c r="C89" s="12" t="s">
        <v>39</v>
      </c>
      <c r="D89" s="12" t="s">
        <v>28</v>
      </c>
      <c r="E89" s="12" t="s">
        <v>36</v>
      </c>
      <c r="F89" s="12">
        <v>620.1</v>
      </c>
      <c r="G89" s="12">
        <v>549.8</v>
      </c>
      <c r="H89" s="12">
        <v>59.8</v>
      </c>
      <c r="I89" s="12">
        <v>8.8</v>
      </c>
      <c r="J89" s="12">
        <v>2037.0</v>
      </c>
      <c r="K89" s="12">
        <v>203.1</v>
      </c>
      <c r="L89" s="12" t="s">
        <v>30</v>
      </c>
      <c r="M89" s="12" t="s">
        <v>196</v>
      </c>
      <c r="N89" s="12">
        <v>13.0</v>
      </c>
      <c r="O89" s="12">
        <v>3668.73</v>
      </c>
    </row>
    <row r="90" ht="15.75" customHeight="1">
      <c r="A90" s="12" t="s">
        <v>197</v>
      </c>
      <c r="B90" s="12" t="s">
        <v>33</v>
      </c>
      <c r="C90" s="12" t="s">
        <v>39</v>
      </c>
      <c r="D90" s="12" t="s">
        <v>28</v>
      </c>
      <c r="E90" s="12" t="s">
        <v>36</v>
      </c>
      <c r="F90" s="12">
        <v>720.9</v>
      </c>
      <c r="G90" s="12">
        <v>728.5</v>
      </c>
      <c r="H90" s="12">
        <v>325.4</v>
      </c>
      <c r="I90" s="12">
        <v>31.1</v>
      </c>
      <c r="J90" s="12">
        <v>3200.0</v>
      </c>
      <c r="K90" s="12">
        <v>148.7</v>
      </c>
      <c r="L90" s="12" t="s">
        <v>30</v>
      </c>
      <c r="M90" s="12" t="s">
        <v>129</v>
      </c>
      <c r="N90" s="12">
        <v>7.1</v>
      </c>
      <c r="O90" s="12">
        <v>3471.41</v>
      </c>
    </row>
    <row r="91" ht="15.75" customHeight="1">
      <c r="A91" s="12" t="s">
        <v>198</v>
      </c>
      <c r="B91" s="12" t="s">
        <v>33</v>
      </c>
      <c r="C91" s="12" t="s">
        <v>34</v>
      </c>
      <c r="D91" s="12" t="s">
        <v>35</v>
      </c>
      <c r="E91" s="12" t="s">
        <v>29</v>
      </c>
      <c r="F91" s="12">
        <v>296.5</v>
      </c>
      <c r="G91" s="12">
        <v>279.0</v>
      </c>
      <c r="H91" s="12">
        <v>19.3</v>
      </c>
      <c r="I91" s="12">
        <v>6.1</v>
      </c>
      <c r="J91" s="12">
        <v>3325.0</v>
      </c>
      <c r="K91" s="12">
        <v>148.6</v>
      </c>
      <c r="L91" s="12" t="s">
        <v>30</v>
      </c>
      <c r="M91" s="12" t="s">
        <v>199</v>
      </c>
      <c r="N91" s="12">
        <v>15.0</v>
      </c>
      <c r="O91" s="12">
        <v>3856.87</v>
      </c>
    </row>
    <row r="92" ht="15.75" customHeight="1">
      <c r="A92" s="12" t="s">
        <v>200</v>
      </c>
      <c r="B92" s="12" t="s">
        <v>33</v>
      </c>
      <c r="C92" s="12" t="s">
        <v>27</v>
      </c>
      <c r="D92" s="12" t="s">
        <v>40</v>
      </c>
      <c r="E92" s="12" t="s">
        <v>29</v>
      </c>
      <c r="F92" s="12">
        <v>168.9</v>
      </c>
      <c r="G92" s="12">
        <v>162.6</v>
      </c>
      <c r="H92" s="12">
        <v>447.5</v>
      </c>
      <c r="I92" s="12">
        <v>72.6</v>
      </c>
      <c r="J92" s="12">
        <v>1029.0</v>
      </c>
      <c r="K92" s="12">
        <v>188.4</v>
      </c>
      <c r="L92" s="12" t="s">
        <v>30</v>
      </c>
      <c r="M92" s="12" t="s">
        <v>150</v>
      </c>
      <c r="N92" s="12">
        <v>72.7</v>
      </c>
      <c r="O92" s="12">
        <v>3937.45</v>
      </c>
    </row>
    <row r="93" ht="15.75" customHeight="1">
      <c r="A93" s="12" t="s">
        <v>201</v>
      </c>
      <c r="B93" s="12" t="s">
        <v>33</v>
      </c>
      <c r="C93" s="12" t="s">
        <v>34</v>
      </c>
      <c r="D93" s="12" t="s">
        <v>35</v>
      </c>
      <c r="E93" s="12" t="s">
        <v>29</v>
      </c>
      <c r="F93" s="12">
        <v>430.7</v>
      </c>
      <c r="G93" s="12">
        <v>414.7</v>
      </c>
      <c r="H93" s="12">
        <v>113.1</v>
      </c>
      <c r="I93" s="12">
        <v>20.8</v>
      </c>
      <c r="J93" s="12">
        <v>2410.0</v>
      </c>
      <c r="K93" s="12">
        <v>173.3</v>
      </c>
      <c r="L93" s="12" t="s">
        <v>30</v>
      </c>
      <c r="M93" s="12" t="s">
        <v>202</v>
      </c>
      <c r="N93" s="12">
        <v>3.4</v>
      </c>
      <c r="O93" s="12">
        <v>2892.71</v>
      </c>
    </row>
    <row r="94" ht="15.75" customHeight="1">
      <c r="A94" s="12" t="s">
        <v>203</v>
      </c>
      <c r="B94" s="12" t="s">
        <v>71</v>
      </c>
      <c r="C94" s="12" t="s">
        <v>34</v>
      </c>
      <c r="D94" s="12" t="s">
        <v>40</v>
      </c>
      <c r="E94" s="12" t="s">
        <v>41</v>
      </c>
      <c r="F94" s="12">
        <v>308.9</v>
      </c>
      <c r="G94" s="12">
        <v>292.1</v>
      </c>
      <c r="H94" s="12">
        <v>85.1</v>
      </c>
      <c r="I94" s="12">
        <v>21.6</v>
      </c>
      <c r="J94" s="12">
        <v>1954.0</v>
      </c>
      <c r="K94" s="12">
        <v>199.6</v>
      </c>
      <c r="L94" s="12" t="s">
        <v>30</v>
      </c>
      <c r="M94" s="12" t="s">
        <v>204</v>
      </c>
      <c r="N94" s="12">
        <v>1.4</v>
      </c>
      <c r="O94" s="12">
        <v>3617.61</v>
      </c>
    </row>
    <row r="95" ht="15.75" customHeight="1">
      <c r="A95" s="12" t="s">
        <v>205</v>
      </c>
      <c r="B95" s="12" t="s">
        <v>26</v>
      </c>
      <c r="C95" s="12" t="s">
        <v>27</v>
      </c>
      <c r="D95" s="12" t="s">
        <v>35</v>
      </c>
      <c r="E95" s="12" t="s">
        <v>29</v>
      </c>
      <c r="F95" s="12">
        <v>545.9</v>
      </c>
      <c r="G95" s="12">
        <v>512.2</v>
      </c>
      <c r="H95" s="12">
        <v>131.4</v>
      </c>
      <c r="I95" s="12">
        <v>19.4</v>
      </c>
      <c r="J95" s="12">
        <v>3494.0</v>
      </c>
      <c r="K95" s="12">
        <v>213.3</v>
      </c>
      <c r="L95" s="12" t="s">
        <v>30</v>
      </c>
      <c r="M95" s="12" t="s">
        <v>146</v>
      </c>
      <c r="N95" s="12">
        <v>13.1</v>
      </c>
      <c r="O95" s="12">
        <v>4027.05</v>
      </c>
    </row>
    <row r="96" ht="15.75" customHeight="1">
      <c r="A96" s="12" t="s">
        <v>206</v>
      </c>
      <c r="B96" s="12" t="s">
        <v>26</v>
      </c>
      <c r="C96" s="12" t="s">
        <v>39</v>
      </c>
      <c r="D96" s="12" t="s">
        <v>40</v>
      </c>
      <c r="E96" s="12" t="s">
        <v>36</v>
      </c>
      <c r="F96" s="12">
        <v>639.0</v>
      </c>
      <c r="G96" s="12">
        <v>815.6</v>
      </c>
      <c r="H96" s="12">
        <v>248.5</v>
      </c>
      <c r="I96" s="12">
        <v>28.0</v>
      </c>
      <c r="J96" s="12">
        <v>1995.0</v>
      </c>
      <c r="K96" s="12">
        <v>169.4</v>
      </c>
      <c r="L96" s="12" t="s">
        <v>30</v>
      </c>
      <c r="M96" s="12" t="s">
        <v>65</v>
      </c>
      <c r="N96" s="12">
        <v>3.4</v>
      </c>
      <c r="O96" s="12">
        <v>5133.19</v>
      </c>
    </row>
    <row r="97" ht="15.75" customHeight="1">
      <c r="A97" s="12" t="s">
        <v>207</v>
      </c>
      <c r="B97" s="12" t="s">
        <v>33</v>
      </c>
      <c r="C97" s="12" t="s">
        <v>39</v>
      </c>
      <c r="D97" s="12" t="s">
        <v>35</v>
      </c>
      <c r="E97" s="12" t="s">
        <v>29</v>
      </c>
      <c r="F97" s="12">
        <v>495.4</v>
      </c>
      <c r="G97" s="12">
        <v>403.2</v>
      </c>
      <c r="H97" s="12">
        <v>31.1</v>
      </c>
      <c r="I97" s="12">
        <v>5.9</v>
      </c>
      <c r="J97" s="12">
        <v>3293.0</v>
      </c>
      <c r="K97" s="12">
        <v>154.4</v>
      </c>
      <c r="L97" s="12" t="s">
        <v>30</v>
      </c>
      <c r="M97" s="12" t="s">
        <v>208</v>
      </c>
      <c r="N97" s="12">
        <v>13.9</v>
      </c>
      <c r="O97" s="12">
        <v>3827.95</v>
      </c>
    </row>
    <row r="98" ht="15.75" customHeight="1">
      <c r="A98" s="12" t="s">
        <v>209</v>
      </c>
      <c r="B98" s="12" t="s">
        <v>71</v>
      </c>
      <c r="C98" s="12" t="s">
        <v>39</v>
      </c>
      <c r="D98" s="12" t="s">
        <v>28</v>
      </c>
      <c r="E98" s="12" t="s">
        <v>36</v>
      </c>
      <c r="F98" s="12">
        <v>784.9</v>
      </c>
      <c r="G98" s="12">
        <v>490.2</v>
      </c>
      <c r="H98" s="12">
        <v>184.1</v>
      </c>
      <c r="I98" s="12">
        <v>19.0</v>
      </c>
      <c r="J98" s="12">
        <v>2940.0</v>
      </c>
      <c r="K98" s="12">
        <v>199.7</v>
      </c>
      <c r="L98" s="12" t="s">
        <v>30</v>
      </c>
      <c r="M98" s="12" t="s">
        <v>210</v>
      </c>
      <c r="N98" s="12">
        <v>2.1</v>
      </c>
      <c r="O98" s="12">
        <v>3401.29</v>
      </c>
    </row>
    <row r="99" ht="15.75" customHeight="1">
      <c r="A99" s="12" t="s">
        <v>211</v>
      </c>
      <c r="B99" s="12" t="s">
        <v>71</v>
      </c>
      <c r="C99" s="12" t="s">
        <v>39</v>
      </c>
      <c r="D99" s="12" t="s">
        <v>28</v>
      </c>
      <c r="E99" s="12" t="s">
        <v>41</v>
      </c>
      <c r="F99" s="12">
        <v>193.5</v>
      </c>
      <c r="G99" s="12">
        <v>140.2</v>
      </c>
      <c r="H99" s="12">
        <v>118.1</v>
      </c>
      <c r="I99" s="12">
        <v>37.9</v>
      </c>
      <c r="J99" s="12">
        <v>3390.0</v>
      </c>
      <c r="K99" s="12">
        <v>200.4</v>
      </c>
      <c r="L99" s="12" t="s">
        <v>30</v>
      </c>
      <c r="M99" s="12" t="s">
        <v>171</v>
      </c>
      <c r="N99" s="12">
        <v>8.9</v>
      </c>
      <c r="O99" s="12">
        <v>3265.16</v>
      </c>
    </row>
    <row r="100" ht="15.75" customHeight="1">
      <c r="A100" s="12" t="s">
        <v>212</v>
      </c>
      <c r="B100" s="12" t="s">
        <v>71</v>
      </c>
      <c r="C100" s="12" t="s">
        <v>39</v>
      </c>
      <c r="D100" s="12" t="s">
        <v>35</v>
      </c>
      <c r="E100" s="12" t="s">
        <v>41</v>
      </c>
      <c r="F100" s="12">
        <v>245.7</v>
      </c>
      <c r="G100" s="12">
        <v>231.9</v>
      </c>
      <c r="H100" s="12">
        <v>42.0</v>
      </c>
      <c r="I100" s="12">
        <v>14.6</v>
      </c>
      <c r="J100" s="12">
        <v>2005.0</v>
      </c>
      <c r="K100" s="12">
        <v>162.7</v>
      </c>
      <c r="L100" s="12" t="s">
        <v>30</v>
      </c>
      <c r="M100" s="12" t="s">
        <v>74</v>
      </c>
      <c r="N100" s="12">
        <v>11.3</v>
      </c>
      <c r="O100" s="12">
        <v>4206.52</v>
      </c>
    </row>
    <row r="101" ht="15.75" customHeight="1">
      <c r="A101" s="12" t="s">
        <v>213</v>
      </c>
      <c r="B101" s="12" t="s">
        <v>26</v>
      </c>
      <c r="C101" s="12" t="s">
        <v>34</v>
      </c>
      <c r="D101" s="12" t="s">
        <v>40</v>
      </c>
      <c r="E101" s="12" t="s">
        <v>36</v>
      </c>
      <c r="F101" s="12">
        <v>368.2</v>
      </c>
      <c r="G101" s="12">
        <v>447.0</v>
      </c>
      <c r="H101" s="12">
        <v>27.3</v>
      </c>
      <c r="I101" s="12">
        <v>6.9</v>
      </c>
      <c r="J101" s="12">
        <v>3502.0</v>
      </c>
      <c r="K101" s="12">
        <v>201.1</v>
      </c>
      <c r="L101" s="12" t="s">
        <v>30</v>
      </c>
      <c r="M101" s="12" t="s">
        <v>214</v>
      </c>
      <c r="N101" s="12">
        <v>3.1</v>
      </c>
      <c r="O101" s="12">
        <v>4295.93</v>
      </c>
    </row>
    <row r="102" ht="15.75" customHeight="1">
      <c r="A102" s="12" t="s">
        <v>215</v>
      </c>
      <c r="B102" s="12" t="s">
        <v>33</v>
      </c>
      <c r="C102" s="12" t="s">
        <v>39</v>
      </c>
      <c r="D102" s="12" t="s">
        <v>35</v>
      </c>
      <c r="E102" s="12" t="s">
        <v>41</v>
      </c>
      <c r="F102" s="12">
        <v>152.7</v>
      </c>
      <c r="G102" s="12">
        <v>190.1</v>
      </c>
      <c r="H102" s="12">
        <v>64.2</v>
      </c>
      <c r="I102" s="12">
        <v>29.6</v>
      </c>
      <c r="J102" s="12">
        <v>3300.0</v>
      </c>
      <c r="K102" s="12">
        <v>145.8</v>
      </c>
      <c r="L102" s="12" t="s">
        <v>30</v>
      </c>
      <c r="M102" s="12" t="s">
        <v>216</v>
      </c>
      <c r="N102" s="12">
        <v>7.5</v>
      </c>
      <c r="O102" s="12">
        <v>3935.56</v>
      </c>
    </row>
    <row r="103" ht="15.75" customHeight="1">
      <c r="A103" s="12" t="s">
        <v>217</v>
      </c>
      <c r="B103" s="12" t="s">
        <v>71</v>
      </c>
      <c r="C103" s="12" t="s">
        <v>27</v>
      </c>
      <c r="D103" s="12" t="s">
        <v>40</v>
      </c>
      <c r="E103" s="12" t="s">
        <v>36</v>
      </c>
      <c r="F103" s="12">
        <v>898.2</v>
      </c>
      <c r="G103" s="12">
        <v>621.7</v>
      </c>
      <c r="H103" s="12">
        <v>301.0</v>
      </c>
      <c r="I103" s="12">
        <v>25.1</v>
      </c>
      <c r="J103" s="12">
        <v>2552.0</v>
      </c>
      <c r="K103" s="12">
        <v>141.7</v>
      </c>
      <c r="L103" s="12" t="s">
        <v>30</v>
      </c>
      <c r="M103" s="12" t="s">
        <v>218</v>
      </c>
      <c r="N103" s="12">
        <v>10.6</v>
      </c>
      <c r="O103" s="12">
        <v>3686.67</v>
      </c>
    </row>
    <row r="104" ht="15.75" customHeight="1">
      <c r="A104" s="12" t="s">
        <v>219</v>
      </c>
      <c r="B104" s="12" t="s">
        <v>71</v>
      </c>
      <c r="C104" s="12" t="s">
        <v>34</v>
      </c>
      <c r="D104" s="12" t="s">
        <v>40</v>
      </c>
      <c r="E104" s="12" t="s">
        <v>36</v>
      </c>
      <c r="F104" s="12">
        <v>198.8</v>
      </c>
      <c r="G104" s="12">
        <v>154.5</v>
      </c>
      <c r="H104" s="12">
        <v>403.6</v>
      </c>
      <c r="I104" s="12">
        <v>67.0</v>
      </c>
      <c r="J104" s="12">
        <v>1322.0</v>
      </c>
      <c r="K104" s="12">
        <v>202.3</v>
      </c>
      <c r="L104" s="12" t="s">
        <v>30</v>
      </c>
      <c r="M104" s="12" t="s">
        <v>85</v>
      </c>
      <c r="N104" s="12">
        <v>34.7</v>
      </c>
      <c r="O104" s="12">
        <v>3690.49</v>
      </c>
    </row>
    <row r="105" ht="15.75" customHeight="1">
      <c r="A105" s="12" t="s">
        <v>220</v>
      </c>
      <c r="B105" s="12" t="s">
        <v>33</v>
      </c>
      <c r="C105" s="12" t="s">
        <v>34</v>
      </c>
      <c r="D105" s="12" t="s">
        <v>35</v>
      </c>
      <c r="E105" s="12" t="s">
        <v>36</v>
      </c>
      <c r="F105" s="12">
        <v>642.4</v>
      </c>
      <c r="G105" s="12">
        <v>506.9</v>
      </c>
      <c r="H105" s="12">
        <v>281.9</v>
      </c>
      <c r="I105" s="12">
        <v>30.5</v>
      </c>
      <c r="J105" s="12">
        <v>3267.0</v>
      </c>
      <c r="K105" s="12">
        <v>151.7</v>
      </c>
      <c r="L105" s="12" t="s">
        <v>30</v>
      </c>
      <c r="M105" s="12" t="s">
        <v>221</v>
      </c>
      <c r="N105" s="12">
        <v>12.3</v>
      </c>
      <c r="O105" s="12">
        <v>3157.01</v>
      </c>
    </row>
    <row r="106" ht="15.75" customHeight="1">
      <c r="A106" s="12" t="s">
        <v>222</v>
      </c>
      <c r="B106" s="12" t="s">
        <v>33</v>
      </c>
      <c r="C106" s="12" t="s">
        <v>34</v>
      </c>
      <c r="D106" s="12" t="s">
        <v>28</v>
      </c>
      <c r="E106" s="12" t="s">
        <v>36</v>
      </c>
      <c r="F106" s="12">
        <v>660.5</v>
      </c>
      <c r="G106" s="12">
        <v>756.2</v>
      </c>
      <c r="H106" s="12">
        <v>177.7</v>
      </c>
      <c r="I106" s="12">
        <v>21.2</v>
      </c>
      <c r="J106" s="12">
        <v>2843.0</v>
      </c>
      <c r="K106" s="12">
        <v>210.6</v>
      </c>
      <c r="L106" s="12" t="s">
        <v>30</v>
      </c>
      <c r="M106" s="12" t="s">
        <v>223</v>
      </c>
      <c r="N106" s="12">
        <v>8.5</v>
      </c>
      <c r="O106" s="12">
        <v>3670.53</v>
      </c>
    </row>
    <row r="107" ht="15.75" customHeight="1">
      <c r="A107" s="12" t="s">
        <v>224</v>
      </c>
      <c r="B107" s="12" t="s">
        <v>71</v>
      </c>
      <c r="C107" s="12" t="s">
        <v>34</v>
      </c>
      <c r="D107" s="12" t="s">
        <v>40</v>
      </c>
      <c r="E107" s="12" t="s">
        <v>36</v>
      </c>
      <c r="F107" s="12">
        <v>455.9</v>
      </c>
      <c r="G107" s="12">
        <v>401.9</v>
      </c>
      <c r="H107" s="12">
        <v>169.5</v>
      </c>
      <c r="I107" s="12">
        <v>27.1</v>
      </c>
      <c r="J107" s="12">
        <v>2865.0</v>
      </c>
      <c r="K107" s="12">
        <v>145.9</v>
      </c>
      <c r="L107" s="12" t="s">
        <v>30</v>
      </c>
      <c r="M107" s="12" t="s">
        <v>225</v>
      </c>
      <c r="N107" s="12">
        <v>11.9</v>
      </c>
      <c r="O107" s="12">
        <v>3903.41</v>
      </c>
    </row>
    <row r="108" ht="15.75" customHeight="1">
      <c r="A108" s="12" t="s">
        <v>226</v>
      </c>
      <c r="B108" s="12" t="s">
        <v>33</v>
      </c>
      <c r="C108" s="12" t="s">
        <v>39</v>
      </c>
      <c r="D108" s="12" t="s">
        <v>40</v>
      </c>
      <c r="E108" s="12" t="s">
        <v>36</v>
      </c>
      <c r="F108" s="12">
        <v>672.3</v>
      </c>
      <c r="G108" s="12">
        <v>715.5</v>
      </c>
      <c r="H108" s="12">
        <v>60.1</v>
      </c>
      <c r="I108" s="12">
        <v>8.2</v>
      </c>
      <c r="J108" s="12">
        <v>2492.0</v>
      </c>
      <c r="K108" s="12">
        <v>216.3</v>
      </c>
      <c r="L108" s="12" t="s">
        <v>30</v>
      </c>
      <c r="M108" s="12" t="s">
        <v>216</v>
      </c>
      <c r="N108" s="12">
        <v>8.9</v>
      </c>
      <c r="O108" s="12">
        <v>3799.32</v>
      </c>
    </row>
    <row r="109" ht="15.75" customHeight="1">
      <c r="A109" s="12" t="s">
        <v>227</v>
      </c>
      <c r="B109" s="12" t="s">
        <v>71</v>
      </c>
      <c r="C109" s="12" t="s">
        <v>34</v>
      </c>
      <c r="D109" s="12" t="s">
        <v>35</v>
      </c>
      <c r="E109" s="12" t="s">
        <v>36</v>
      </c>
      <c r="F109" s="12">
        <v>408.6</v>
      </c>
      <c r="G109" s="12">
        <v>539.1</v>
      </c>
      <c r="H109" s="12">
        <v>46.9</v>
      </c>
      <c r="I109" s="12">
        <v>10.3</v>
      </c>
      <c r="J109" s="12">
        <v>1986.0</v>
      </c>
      <c r="K109" s="12">
        <v>167.5</v>
      </c>
      <c r="L109" s="12" t="s">
        <v>30</v>
      </c>
      <c r="M109" s="12" t="s">
        <v>110</v>
      </c>
      <c r="N109" s="12">
        <v>0.9</v>
      </c>
      <c r="O109" s="12">
        <v>4102.11</v>
      </c>
    </row>
    <row r="110" ht="15.75" customHeight="1">
      <c r="A110" s="12" t="s">
        <v>228</v>
      </c>
      <c r="B110" s="12" t="s">
        <v>26</v>
      </c>
      <c r="C110" s="12" t="s">
        <v>27</v>
      </c>
      <c r="D110" s="12" t="s">
        <v>28</v>
      </c>
      <c r="E110" s="12" t="s">
        <v>36</v>
      </c>
      <c r="F110" s="12">
        <v>809.4</v>
      </c>
      <c r="G110" s="12">
        <v>1080.0</v>
      </c>
      <c r="H110" s="12">
        <v>245.9</v>
      </c>
      <c r="I110" s="12">
        <v>23.3</v>
      </c>
      <c r="J110" s="12">
        <v>2455.0</v>
      </c>
      <c r="K110" s="12">
        <v>171.0</v>
      </c>
      <c r="L110" s="12" t="s">
        <v>30</v>
      </c>
      <c r="M110" s="12" t="s">
        <v>178</v>
      </c>
      <c r="N110" s="12">
        <v>9.1</v>
      </c>
      <c r="O110" s="12">
        <v>5239.56</v>
      </c>
    </row>
    <row r="111" ht="15.75" customHeight="1">
      <c r="A111" s="12" t="s">
        <v>229</v>
      </c>
      <c r="B111" s="12" t="s">
        <v>26</v>
      </c>
      <c r="C111" s="12" t="s">
        <v>27</v>
      </c>
      <c r="D111" s="12" t="s">
        <v>35</v>
      </c>
      <c r="E111" s="12" t="s">
        <v>29</v>
      </c>
      <c r="F111" s="12">
        <v>441.4</v>
      </c>
      <c r="G111" s="12">
        <v>565.5</v>
      </c>
      <c r="H111" s="12">
        <v>143.2</v>
      </c>
      <c r="I111" s="12">
        <v>24.5</v>
      </c>
      <c r="J111" s="12">
        <v>2254.0</v>
      </c>
      <c r="K111" s="12">
        <v>217.2</v>
      </c>
      <c r="L111" s="12" t="s">
        <v>30</v>
      </c>
      <c r="M111" s="12" t="s">
        <v>87</v>
      </c>
      <c r="N111" s="12">
        <v>5.8</v>
      </c>
      <c r="O111" s="12">
        <v>4887.75</v>
      </c>
    </row>
    <row r="112" ht="15.75" customHeight="1">
      <c r="A112" s="12" t="s">
        <v>230</v>
      </c>
      <c r="B112" s="12" t="s">
        <v>71</v>
      </c>
      <c r="C112" s="12" t="s">
        <v>27</v>
      </c>
      <c r="D112" s="12" t="s">
        <v>35</v>
      </c>
      <c r="E112" s="12" t="s">
        <v>29</v>
      </c>
      <c r="F112" s="12">
        <v>352.6</v>
      </c>
      <c r="G112" s="12">
        <v>379.4</v>
      </c>
      <c r="H112" s="12">
        <v>224.5</v>
      </c>
      <c r="I112" s="12">
        <v>38.9</v>
      </c>
      <c r="J112" s="12">
        <v>2506.0</v>
      </c>
      <c r="K112" s="12">
        <v>215.0</v>
      </c>
      <c r="L112" s="12" t="s">
        <v>30</v>
      </c>
      <c r="M112" s="12" t="s">
        <v>231</v>
      </c>
      <c r="N112" s="12">
        <v>10.5</v>
      </c>
      <c r="O112" s="12">
        <v>3663.3</v>
      </c>
    </row>
    <row r="113" ht="15.75" customHeight="1">
      <c r="A113" s="12" t="s">
        <v>232</v>
      </c>
      <c r="B113" s="12" t="s">
        <v>26</v>
      </c>
      <c r="C113" s="12" t="s">
        <v>39</v>
      </c>
      <c r="D113" s="12" t="s">
        <v>28</v>
      </c>
      <c r="E113" s="12" t="s">
        <v>29</v>
      </c>
      <c r="F113" s="12">
        <v>531.1</v>
      </c>
      <c r="G113" s="12">
        <v>603.5</v>
      </c>
      <c r="H113" s="12">
        <v>352.6</v>
      </c>
      <c r="I113" s="12">
        <v>39.9</v>
      </c>
      <c r="J113" s="12">
        <v>1968.0</v>
      </c>
      <c r="K113" s="12">
        <v>180.7</v>
      </c>
      <c r="L113" s="12" t="s">
        <v>30</v>
      </c>
      <c r="M113" s="12" t="s">
        <v>208</v>
      </c>
      <c r="N113" s="12">
        <v>13.7</v>
      </c>
      <c r="O113" s="12">
        <v>3977.59</v>
      </c>
    </row>
    <row r="114" ht="15.75" customHeight="1">
      <c r="A114" s="12" t="s">
        <v>233</v>
      </c>
      <c r="B114" s="12" t="s">
        <v>33</v>
      </c>
      <c r="C114" s="12" t="s">
        <v>27</v>
      </c>
      <c r="D114" s="12" t="s">
        <v>40</v>
      </c>
      <c r="E114" s="12" t="s">
        <v>41</v>
      </c>
      <c r="F114" s="12">
        <v>181.2</v>
      </c>
      <c r="G114" s="12">
        <v>182.3</v>
      </c>
      <c r="H114" s="12">
        <v>21.0</v>
      </c>
      <c r="I114" s="12">
        <v>10.4</v>
      </c>
      <c r="J114" s="12">
        <v>3219.0</v>
      </c>
      <c r="K114" s="12">
        <v>183.2</v>
      </c>
      <c r="L114" s="12" t="s">
        <v>30</v>
      </c>
      <c r="M114" s="12" t="s">
        <v>234</v>
      </c>
      <c r="N114" s="12">
        <v>4.4</v>
      </c>
      <c r="O114" s="12">
        <v>3731.46</v>
      </c>
    </row>
    <row r="115" ht="15.75" customHeight="1">
      <c r="A115" s="12" t="s">
        <v>235</v>
      </c>
      <c r="B115" s="12" t="s">
        <v>33</v>
      </c>
      <c r="C115" s="12" t="s">
        <v>34</v>
      </c>
      <c r="D115" s="12" t="s">
        <v>40</v>
      </c>
      <c r="E115" s="12" t="s">
        <v>29</v>
      </c>
      <c r="F115" s="12">
        <v>241.9</v>
      </c>
      <c r="G115" s="12">
        <v>301.7</v>
      </c>
      <c r="H115" s="12">
        <v>29.0</v>
      </c>
      <c r="I115" s="12">
        <v>10.7</v>
      </c>
      <c r="J115" s="12">
        <v>3188.0</v>
      </c>
      <c r="K115" s="12">
        <v>153.2</v>
      </c>
      <c r="L115" s="12" t="s">
        <v>30</v>
      </c>
      <c r="M115" s="12" t="s">
        <v>236</v>
      </c>
      <c r="N115" s="12">
        <v>12.5</v>
      </c>
      <c r="O115" s="12">
        <v>3467.72</v>
      </c>
    </row>
    <row r="116" ht="15.75" customHeight="1">
      <c r="A116" s="12" t="s">
        <v>237</v>
      </c>
      <c r="B116" s="12" t="s">
        <v>71</v>
      </c>
      <c r="C116" s="12" t="s">
        <v>34</v>
      </c>
      <c r="D116" s="12" t="s">
        <v>35</v>
      </c>
      <c r="E116" s="12" t="s">
        <v>36</v>
      </c>
      <c r="F116" s="12">
        <v>667.8</v>
      </c>
      <c r="G116" s="12">
        <v>528.5</v>
      </c>
      <c r="H116" s="12">
        <v>304.3</v>
      </c>
      <c r="I116" s="12">
        <v>31.3</v>
      </c>
      <c r="J116" s="12">
        <v>2221.0</v>
      </c>
      <c r="K116" s="12">
        <v>217.2</v>
      </c>
      <c r="L116" s="12" t="s">
        <v>30</v>
      </c>
      <c r="M116" s="12" t="s">
        <v>238</v>
      </c>
      <c r="N116" s="12">
        <v>11.8</v>
      </c>
      <c r="O116" s="12">
        <v>4366.49</v>
      </c>
    </row>
    <row r="117" ht="15.75" customHeight="1">
      <c r="A117" s="12" t="s">
        <v>239</v>
      </c>
      <c r="B117" s="12" t="s">
        <v>71</v>
      </c>
      <c r="C117" s="12" t="s">
        <v>34</v>
      </c>
      <c r="D117" s="12" t="s">
        <v>35</v>
      </c>
      <c r="E117" s="12" t="s">
        <v>41</v>
      </c>
      <c r="F117" s="12">
        <v>190.8</v>
      </c>
      <c r="G117" s="12">
        <v>239.2</v>
      </c>
      <c r="H117" s="12">
        <v>43.0</v>
      </c>
      <c r="I117" s="12">
        <v>18.4</v>
      </c>
      <c r="J117" s="12">
        <v>3539.0</v>
      </c>
      <c r="K117" s="12">
        <v>204.1</v>
      </c>
      <c r="L117" s="12" t="s">
        <v>30</v>
      </c>
      <c r="M117" s="12" t="s">
        <v>240</v>
      </c>
      <c r="N117" s="12">
        <v>7.9</v>
      </c>
      <c r="O117" s="12">
        <v>3377.79</v>
      </c>
    </row>
    <row r="118" ht="15.75" customHeight="1">
      <c r="A118" s="12" t="s">
        <v>241</v>
      </c>
      <c r="B118" s="12" t="s">
        <v>33</v>
      </c>
      <c r="C118" s="12" t="s">
        <v>34</v>
      </c>
      <c r="D118" s="12" t="s">
        <v>40</v>
      </c>
      <c r="E118" s="12" t="s">
        <v>41</v>
      </c>
      <c r="F118" s="12">
        <v>110.6</v>
      </c>
      <c r="G118" s="12">
        <v>106.1</v>
      </c>
      <c r="H118" s="12">
        <v>456.6</v>
      </c>
      <c r="I118" s="12">
        <v>80.5</v>
      </c>
      <c r="J118" s="12">
        <v>1258.0</v>
      </c>
      <c r="K118" s="12">
        <v>181.1</v>
      </c>
      <c r="L118" s="12" t="s">
        <v>30</v>
      </c>
      <c r="M118" s="12" t="s">
        <v>134</v>
      </c>
      <c r="N118" s="12">
        <v>47.1</v>
      </c>
      <c r="O118" s="12">
        <v>4490.24</v>
      </c>
    </row>
    <row r="119" ht="15.75" customHeight="1">
      <c r="A119" s="12" t="s">
        <v>242</v>
      </c>
      <c r="B119" s="12" t="s">
        <v>33</v>
      </c>
      <c r="C119" s="12" t="s">
        <v>39</v>
      </c>
      <c r="D119" s="12" t="s">
        <v>40</v>
      </c>
      <c r="E119" s="12" t="s">
        <v>36</v>
      </c>
      <c r="F119" s="12">
        <v>557.4</v>
      </c>
      <c r="G119" s="12">
        <v>434.6</v>
      </c>
      <c r="H119" s="12">
        <v>123.2</v>
      </c>
      <c r="I119" s="12">
        <v>18.1</v>
      </c>
      <c r="J119" s="12">
        <v>1947.0</v>
      </c>
      <c r="K119" s="12">
        <v>165.5</v>
      </c>
      <c r="L119" s="12" t="s">
        <v>30</v>
      </c>
      <c r="M119" s="12" t="s">
        <v>243</v>
      </c>
      <c r="N119" s="12">
        <v>5.8</v>
      </c>
      <c r="O119" s="12">
        <v>2933.83</v>
      </c>
    </row>
    <row r="120" ht="15.75" customHeight="1">
      <c r="A120" s="12" t="s">
        <v>244</v>
      </c>
      <c r="B120" s="12" t="s">
        <v>71</v>
      </c>
      <c r="C120" s="12" t="s">
        <v>27</v>
      </c>
      <c r="D120" s="12" t="s">
        <v>28</v>
      </c>
      <c r="E120" s="12" t="s">
        <v>36</v>
      </c>
      <c r="F120" s="12">
        <v>567.5</v>
      </c>
      <c r="G120" s="12">
        <v>544.2</v>
      </c>
      <c r="H120" s="12">
        <v>236.3</v>
      </c>
      <c r="I120" s="12">
        <v>29.4</v>
      </c>
      <c r="J120" s="12">
        <v>3070.0</v>
      </c>
      <c r="K120" s="12">
        <v>140.4</v>
      </c>
      <c r="L120" s="12" t="s">
        <v>30</v>
      </c>
      <c r="M120" s="12" t="s">
        <v>245</v>
      </c>
      <c r="N120" s="12">
        <v>2.1</v>
      </c>
      <c r="O120" s="12">
        <v>3205.59</v>
      </c>
    </row>
    <row r="121" ht="15.75" customHeight="1">
      <c r="A121" s="12" t="s">
        <v>246</v>
      </c>
      <c r="B121" s="12" t="s">
        <v>33</v>
      </c>
      <c r="C121" s="12" t="s">
        <v>27</v>
      </c>
      <c r="D121" s="12" t="s">
        <v>35</v>
      </c>
      <c r="E121" s="12" t="s">
        <v>29</v>
      </c>
      <c r="F121" s="12">
        <v>567.6</v>
      </c>
      <c r="G121" s="12">
        <v>448.8</v>
      </c>
      <c r="H121" s="12">
        <v>269.6</v>
      </c>
      <c r="I121" s="12">
        <v>32.2</v>
      </c>
      <c r="J121" s="12">
        <v>2019.0</v>
      </c>
      <c r="K121" s="12">
        <v>191.1</v>
      </c>
      <c r="L121" s="12" t="s">
        <v>30</v>
      </c>
      <c r="M121" s="12" t="s">
        <v>247</v>
      </c>
      <c r="N121" s="12">
        <v>3.6</v>
      </c>
      <c r="O121" s="12">
        <v>3571.2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0.0"/>
    <col customWidth="1" min="8" max="26" width="8.71"/>
  </cols>
  <sheetData>
    <row r="1">
      <c r="A1" s="14" t="s">
        <v>10</v>
      </c>
      <c r="B1" s="14" t="s">
        <v>248</v>
      </c>
      <c r="C1" s="14" t="s">
        <v>249</v>
      </c>
      <c r="D1" s="14" t="s">
        <v>250</v>
      </c>
      <c r="E1" s="14" t="s">
        <v>251</v>
      </c>
      <c r="F1" s="14" t="s">
        <v>252</v>
      </c>
      <c r="G1" s="14" t="s">
        <v>253</v>
      </c>
    </row>
    <row r="2">
      <c r="A2" s="15" t="s">
        <v>33</v>
      </c>
      <c r="B2" s="16">
        <f>SUMIF(Raw_Data!$B$2:$B$121,$A2,Raw_Data!$F$2:$F$121)</f>
        <v>19121.3</v>
      </c>
      <c r="C2" s="16">
        <f>SUMIF(Raw_Data!$B$2:$B$121,$A2,Raw_Data!$G$2:$G$121)</f>
        <v>19213.2</v>
      </c>
      <c r="D2" s="16">
        <f>SUMIF(Raw_Data!$B$2:$B$121,$A2,Raw_Data!$H$2:$H$121)</f>
        <v>7937.4</v>
      </c>
      <c r="E2" s="17">
        <f>AVERAGEIF(Raw_Data!$B$2:$B$121,$A2,Raw_Data!$I$2:$I$121)</f>
        <v>28.73636364</v>
      </c>
      <c r="F2" s="16">
        <f>AVERAGEIF(Raw_Data!$B$2:$B$121,$A2,Raw_Data!$J$2:$J$121)</f>
        <v>2471.681818</v>
      </c>
      <c r="G2" s="18">
        <f>COUNTIF(Raw_Data!$B$2:$B$121,$A2)</f>
        <v>44</v>
      </c>
    </row>
    <row r="3">
      <c r="A3" s="15" t="s">
        <v>71</v>
      </c>
      <c r="B3" s="16">
        <f>SUMIF(Raw_Data!$B$2:$B$121,$A3,Raw_Data!$F$2:$F$121)</f>
        <v>15219.1</v>
      </c>
      <c r="C3" s="16">
        <f>SUMIF(Raw_Data!$B$2:$B$121,$A3,Raw_Data!$G$2:$G$121)</f>
        <v>14368.7</v>
      </c>
      <c r="D3" s="16">
        <f>SUMIF(Raw_Data!$B$2:$B$121,$A3,Raw_Data!$H$2:$H$121)</f>
        <v>8084.6</v>
      </c>
      <c r="E3" s="17">
        <f>AVERAGEIF(Raw_Data!$B$2:$B$121,$A3,Raw_Data!$I$2:$I$121)</f>
        <v>33.72972973</v>
      </c>
      <c r="F3" s="16">
        <f>AVERAGEIF(Raw_Data!$B$2:$B$121,$A3,Raw_Data!$J$2:$J$121)</f>
        <v>2355.72973</v>
      </c>
      <c r="G3" s="18">
        <f>COUNTIF(Raw_Data!$B$2:$B$121,$A3)</f>
        <v>37</v>
      </c>
    </row>
    <row r="4">
      <c r="A4" s="15" t="s">
        <v>26</v>
      </c>
      <c r="B4" s="16">
        <f>SUMIF(Raw_Data!$B$2:$B$121,$A4,Raw_Data!$F$2:$F$121)</f>
        <v>15611.8</v>
      </c>
      <c r="C4" s="16">
        <f>SUMIF(Raw_Data!$B$2:$B$121,$A4,Raw_Data!$G$2:$G$121)</f>
        <v>16211.3</v>
      </c>
      <c r="D4" s="16">
        <f>SUMIF(Raw_Data!$B$2:$B$121,$A4,Raw_Data!$H$2:$H$121)</f>
        <v>7468.7</v>
      </c>
      <c r="E4" s="17">
        <f>AVERAGEIF(Raw_Data!$B$2:$B$121,$A4,Raw_Data!$I$2:$I$121)</f>
        <v>29.71025641</v>
      </c>
      <c r="F4" s="16">
        <f>AVERAGEIF(Raw_Data!$B$2:$B$121,$A4,Raw_Data!$J$2:$J$121)</f>
        <v>2367.641026</v>
      </c>
      <c r="G4" s="18">
        <f>COUNTIF(Raw_Data!$B$2:$B$121,$A4)</f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14" t="s">
        <v>11</v>
      </c>
      <c r="B1" s="14" t="s">
        <v>254</v>
      </c>
      <c r="C1" s="14" t="s">
        <v>248</v>
      </c>
      <c r="D1" s="14" t="s">
        <v>251</v>
      </c>
      <c r="E1" s="14" t="s">
        <v>253</v>
      </c>
    </row>
    <row r="2">
      <c r="A2" s="15" t="s">
        <v>36</v>
      </c>
      <c r="B2" s="16">
        <f>AVERAGEIF(Raw_Data!$E$2:$E$121,$A2,Raw_Data!$F$2:$F$121)</f>
        <v>558.6882353</v>
      </c>
      <c r="C2" s="16">
        <f>SUMIF(Raw_Data!$E$2:$E$121,$A2,Raw_Data!$F$2:$F$121)</f>
        <v>28493.1</v>
      </c>
      <c r="D2" s="17">
        <f>AVERAGEIF(Raw_Data!$E$2:$E$121,$A2,Raw_Data!$I$2:$I$121)</f>
        <v>28.2627451</v>
      </c>
      <c r="E2" s="18">
        <f>COUNTIF(Raw_Data!$E$2:$E$121,$A2)</f>
        <v>51</v>
      </c>
    </row>
    <row r="3">
      <c r="A3" s="15" t="s">
        <v>41</v>
      </c>
      <c r="B3" s="16">
        <f>AVERAGEIF(Raw_Data!$E$2:$E$121,$A3,Raw_Data!$F$2:$F$121)</f>
        <v>223.7705882</v>
      </c>
      <c r="C3" s="16">
        <f>SUMIF(Raw_Data!$E$2:$E$121,$A3,Raw_Data!$F$2:$F$121)</f>
        <v>7608.2</v>
      </c>
      <c r="D3" s="17">
        <f>AVERAGEIF(Raw_Data!$E$2:$E$121,$A3,Raw_Data!$I$2:$I$121)</f>
        <v>33.64705882</v>
      </c>
      <c r="E3" s="18">
        <f>COUNTIF(Raw_Data!$E$2:$E$121,$A3)</f>
        <v>34</v>
      </c>
    </row>
    <row r="4">
      <c r="A4" s="15" t="s">
        <v>29</v>
      </c>
      <c r="B4" s="16">
        <f>AVERAGEIF(Raw_Data!$E$2:$E$121,$A4,Raw_Data!$F$2:$F$121)</f>
        <v>395.74</v>
      </c>
      <c r="C4" s="16">
        <f>SUMIF(Raw_Data!$E$2:$E$121,$A4,Raw_Data!$F$2:$F$121)</f>
        <v>13850.9</v>
      </c>
      <c r="D4" s="17">
        <f>AVERAGEIF(Raw_Data!$E$2:$E$121,$A4,Raw_Data!$I$2:$I$121)</f>
        <v>31.02</v>
      </c>
      <c r="E4" s="18">
        <f>COUNTIF(Raw_Data!$E$2:$E$121,$A4)</f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14" t="s">
        <v>10</v>
      </c>
      <c r="B1" s="14" t="s">
        <v>11</v>
      </c>
      <c r="C1" s="14" t="s">
        <v>248</v>
      </c>
      <c r="D1" s="14" t="s">
        <v>250</v>
      </c>
      <c r="E1" s="14" t="s">
        <v>252</v>
      </c>
    </row>
    <row r="2">
      <c r="A2" s="18" t="s">
        <v>33</v>
      </c>
      <c r="B2" s="18" t="s">
        <v>36</v>
      </c>
      <c r="C2" s="16">
        <f>SUMIFS(Raw_Data!$F$2:$F$121,Raw_Data!$B$2:$B$121,$A2,Raw_Data!$E$2:$E$121,$B2)</f>
        <v>11777.8</v>
      </c>
      <c r="D2" s="16">
        <f>SUMIFS(Raw_Data!$H$2:$H$121,Raw_Data!$B$2:$B$121,$A2,Raw_Data!$E$2:$E$121,$B2)</f>
        <v>4343.6</v>
      </c>
      <c r="E2" s="16">
        <f>AVERAGEIFS(Raw_Data!$J$2:$J$121,Raw_Data!$B$2:$B$121,$A2,Raw_Data!$E$2:$E$121,$B2)</f>
        <v>2572.277778</v>
      </c>
    </row>
    <row r="3">
      <c r="A3" s="18" t="s">
        <v>33</v>
      </c>
      <c r="B3" s="18" t="s">
        <v>41</v>
      </c>
      <c r="C3" s="16">
        <f>SUMIFS(Raw_Data!$F$2:$F$121,Raw_Data!$B$2:$B$121,$A3,Raw_Data!$E$2:$E$121,$B3)</f>
        <v>3288.2</v>
      </c>
      <c r="D3" s="16">
        <f>SUMIFS(Raw_Data!$H$2:$H$121,Raw_Data!$B$2:$B$121,$A3,Raw_Data!$E$2:$E$121,$B3)</f>
        <v>1699.3</v>
      </c>
      <c r="E3" s="16">
        <f>AVERAGEIFS(Raw_Data!$J$2:$J$121,Raw_Data!$B$2:$B$121,$A3,Raw_Data!$E$2:$E$121,$B3)</f>
        <v>2340.142857</v>
      </c>
    </row>
    <row r="4">
      <c r="A4" s="18" t="s">
        <v>33</v>
      </c>
      <c r="B4" s="18" t="s">
        <v>29</v>
      </c>
      <c r="C4" s="16">
        <f>SUMIFS(Raw_Data!$F$2:$F$121,Raw_Data!$B$2:$B$121,$A4,Raw_Data!$E$2:$E$121,$B4)</f>
        <v>4055.3</v>
      </c>
      <c r="D4" s="16">
        <f>SUMIFS(Raw_Data!$H$2:$H$121,Raw_Data!$B$2:$B$121,$A4,Raw_Data!$E$2:$E$121,$B4)</f>
        <v>1894.5</v>
      </c>
      <c r="E4" s="16">
        <f>AVERAGEIFS(Raw_Data!$J$2:$J$121,Raw_Data!$B$2:$B$121,$A4,Raw_Data!$E$2:$E$121,$B4)</f>
        <v>2474.25</v>
      </c>
    </row>
    <row r="5">
      <c r="A5" s="18" t="s">
        <v>71</v>
      </c>
      <c r="B5" s="18" t="s">
        <v>36</v>
      </c>
      <c r="C5" s="16">
        <f>SUMIFS(Raw_Data!$F$2:$F$121,Raw_Data!$B$2:$B$121,$A5,Raw_Data!$E$2:$E$121,$B5)</f>
        <v>9040.1</v>
      </c>
      <c r="D5" s="16">
        <f>SUMIFS(Raw_Data!$H$2:$H$121,Raw_Data!$B$2:$B$121,$A5,Raw_Data!$E$2:$E$121,$B5)</f>
        <v>3979.2</v>
      </c>
      <c r="E5" s="16">
        <f>AVERAGEIFS(Raw_Data!$J$2:$J$121,Raw_Data!$B$2:$B$121,$A5,Raw_Data!$E$2:$E$121,$B5)</f>
        <v>2428.555556</v>
      </c>
    </row>
    <row r="6">
      <c r="A6" s="18" t="s">
        <v>71</v>
      </c>
      <c r="B6" s="18" t="s">
        <v>41</v>
      </c>
      <c r="C6" s="16">
        <f>SUMIFS(Raw_Data!$F$2:$F$121,Raw_Data!$B$2:$B$121,$A6,Raw_Data!$E$2:$E$121,$B6)</f>
        <v>2369.3</v>
      </c>
      <c r="D6" s="16">
        <f>SUMIFS(Raw_Data!$H$2:$H$121,Raw_Data!$B$2:$B$121,$A6,Raw_Data!$E$2:$E$121,$B6)</f>
        <v>1575.3</v>
      </c>
      <c r="E6" s="16">
        <f>AVERAGEIFS(Raw_Data!$J$2:$J$121,Raw_Data!$B$2:$B$121,$A6,Raw_Data!$E$2:$E$121,$B6)</f>
        <v>2480.1</v>
      </c>
    </row>
    <row r="7">
      <c r="A7" s="18" t="s">
        <v>71</v>
      </c>
      <c r="B7" s="18" t="s">
        <v>29</v>
      </c>
      <c r="C7" s="16">
        <f>SUMIFS(Raw_Data!$F$2:$F$121,Raw_Data!$B$2:$B$121,$A7,Raw_Data!$E$2:$E$121,$B7)</f>
        <v>3809.7</v>
      </c>
      <c r="D7" s="16">
        <f>SUMIFS(Raw_Data!$H$2:$H$121,Raw_Data!$B$2:$B$121,$A7,Raw_Data!$E$2:$E$121,$B7)</f>
        <v>2530.1</v>
      </c>
      <c r="E7" s="16">
        <f>AVERAGEIFS(Raw_Data!$J$2:$J$121,Raw_Data!$B$2:$B$121,$A7,Raw_Data!$E$2:$E$121,$B7)</f>
        <v>2071.888889</v>
      </c>
    </row>
    <row r="8">
      <c r="A8" s="18" t="s">
        <v>26</v>
      </c>
      <c r="B8" s="18" t="s">
        <v>36</v>
      </c>
      <c r="C8" s="16">
        <f>SUMIFS(Raw_Data!$F$2:$F$121,Raw_Data!$B$2:$B$121,$A8,Raw_Data!$E$2:$E$121,$B8)</f>
        <v>7675.2</v>
      </c>
      <c r="D8" s="16">
        <f>SUMIFS(Raw_Data!$H$2:$H$121,Raw_Data!$B$2:$B$121,$A8,Raw_Data!$E$2:$E$121,$B8)</f>
        <v>3329.5</v>
      </c>
      <c r="E8" s="16">
        <f>AVERAGEIFS(Raw_Data!$J$2:$J$121,Raw_Data!$B$2:$B$121,$A8,Raw_Data!$E$2:$E$121,$B8)</f>
        <v>2380</v>
      </c>
    </row>
    <row r="9">
      <c r="A9" s="18" t="s">
        <v>26</v>
      </c>
      <c r="B9" s="18" t="s">
        <v>41</v>
      </c>
      <c r="C9" s="16">
        <f>SUMIFS(Raw_Data!$F$2:$F$121,Raw_Data!$B$2:$B$121,$A9,Raw_Data!$E$2:$E$121,$B9)</f>
        <v>1950.7</v>
      </c>
      <c r="D9" s="16">
        <f>SUMIFS(Raw_Data!$H$2:$H$121,Raw_Data!$B$2:$B$121,$A9,Raw_Data!$E$2:$E$121,$B9)</f>
        <v>1290.4</v>
      </c>
      <c r="E9" s="16">
        <f>AVERAGEIFS(Raw_Data!$J$2:$J$121,Raw_Data!$B$2:$B$121,$A9,Raw_Data!$E$2:$E$121,$B9)</f>
        <v>2240.7</v>
      </c>
    </row>
    <row r="10">
      <c r="A10" s="18" t="s">
        <v>26</v>
      </c>
      <c r="B10" s="18" t="s">
        <v>29</v>
      </c>
      <c r="C10" s="16">
        <f>SUMIFS(Raw_Data!$F$2:$F$121,Raw_Data!$B$2:$B$121,$A10,Raw_Data!$E$2:$E$121,$B10)</f>
        <v>5985.9</v>
      </c>
      <c r="D10" s="16">
        <f>SUMIFS(Raw_Data!$H$2:$H$121,Raw_Data!$B$2:$B$121,$A10,Raw_Data!$E$2:$E$121,$B10)</f>
        <v>2848.8</v>
      </c>
      <c r="E10" s="16">
        <f>AVERAGEIFS(Raw_Data!$J$2:$J$121,Raw_Data!$B$2:$B$121,$A10,Raw_Data!$E$2:$E$121,$B10)</f>
        <v>2445.071429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14" t="s">
        <v>255</v>
      </c>
      <c r="B1" s="14" t="s">
        <v>256</v>
      </c>
    </row>
    <row r="2">
      <c r="A2" s="18" t="s">
        <v>257</v>
      </c>
      <c r="B2" s="19">
        <f>SUM(Raw_Data!F2:F121)</f>
        <v>49952.2</v>
      </c>
    </row>
    <row r="3">
      <c r="A3" s="18" t="s">
        <v>258</v>
      </c>
      <c r="B3" s="19">
        <f>SUM(Raw_Data!G2:G121)</f>
        <v>49793.2</v>
      </c>
    </row>
    <row r="4">
      <c r="A4" s="18" t="s">
        <v>259</v>
      </c>
      <c r="B4" s="20">
        <f>AVERAGE(Raw_Data!I2:I121)</f>
        <v>30.5925</v>
      </c>
    </row>
    <row r="5">
      <c r="A5" s="18" t="s">
        <v>260</v>
      </c>
      <c r="B5" s="21">
        <f>AVERAGE(Raw_Data!J2:J121)</f>
        <v>2402.116667</v>
      </c>
    </row>
    <row r="6">
      <c r="A6" s="18" t="s">
        <v>261</v>
      </c>
      <c r="B6" s="22" t="str">
        <f t="array" ref="B6">INDEX(Raw_Data!A2:A121,MATCH(MAX(Raw_Data!F2:F121),Raw_Data!F2:F121,0))</f>
        <v>W-019</v>
      </c>
    </row>
    <row r="7">
      <c r="A7" s="18" t="s">
        <v>262</v>
      </c>
      <c r="B7" s="19">
        <f>MAX(Raw_Data!F2:F121)</f>
        <v>969.1</v>
      </c>
    </row>
    <row r="8">
      <c r="A8" s="18" t="s">
        <v>263</v>
      </c>
      <c r="B8" s="22" t="str">
        <f t="array" ref="B8">INDEX(Raw_Data!A2:A121,MATCH(MIN(Raw_Data!F2:F121),Raw_Data!F2:F121,0))</f>
        <v>W-056</v>
      </c>
    </row>
    <row r="9">
      <c r="A9" s="18" t="s">
        <v>264</v>
      </c>
      <c r="B9" s="19">
        <f>MIN(Raw_Data!F2:F121)</f>
        <v>61.2</v>
      </c>
    </row>
    <row r="10">
      <c r="A10" s="18" t="s">
        <v>265</v>
      </c>
      <c r="B10" s="23">
        <f>COUNTIF(Raw_Data!L2:L121,"Active")</f>
        <v>114</v>
      </c>
    </row>
    <row r="11">
      <c r="A11" s="18" t="s">
        <v>266</v>
      </c>
      <c r="B11" s="23">
        <f>COUNTIF(Raw_Data!L2:L121,"Shut-in")</f>
        <v>6</v>
      </c>
    </row>
    <row r="12">
      <c r="A12" s="18" t="s">
        <v>267</v>
      </c>
      <c r="B12" s="20">
        <f>AVERAGE(Raw_Data!N2:N121)</f>
        <v>17.28166667</v>
      </c>
    </row>
    <row r="13">
      <c r="A13" s="18" t="s">
        <v>268</v>
      </c>
      <c r="B13" s="24">
        <f>AVERAGE(Raw_Data!O2:O121)</f>
        <v>4173.521</v>
      </c>
    </row>
    <row r="14">
      <c r="A14" s="18" t="s">
        <v>269</v>
      </c>
      <c r="B14" s="23">
        <f>SUMPRODUCT((Raw_Data!I2:I121&gt;50)+(Raw_Data!N2:N121&gt;25)&gt;0)</f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J1" s="25" t="s">
        <v>21</v>
      </c>
      <c r="K1" s="25" t="s">
        <v>270</v>
      </c>
    </row>
    <row r="2">
      <c r="J2" s="25" t="s">
        <v>30</v>
      </c>
      <c r="K2" s="25">
        <f>COUNTIF(Raw_Data!L2:L121,"Active")</f>
        <v>114</v>
      </c>
    </row>
    <row r="3">
      <c r="J3" s="25" t="s">
        <v>77</v>
      </c>
      <c r="K3" s="25">
        <f>COUNTIF(Raw_Data!L2:L121,"Shut-in")</f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2026-07-06T10:15:11Z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